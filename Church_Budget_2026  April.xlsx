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DMIBOOK\Desktop\KingdomCity Church 2026\"/>
    </mc:Choice>
  </mc:AlternateContent>
  <xr:revisionPtr revIDLastSave="0" documentId="13_ncr:1_{7DCECF0C-CA86-40D1-8AB6-84C0A845DB26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Collections" sheetId="1" r:id="rId1"/>
    <sheet name="Expenses" sheetId="2" r:id="rId2"/>
    <sheet name="Summary" sheetId="3" r:id="rId3"/>
    <sheet name="Cash flow" sheetId="11" r:id="rId4"/>
    <sheet name="Charts" sheetId="4" state="hidden" r:id="rId5"/>
    <sheet name="Executive Summary" sheetId="5" r:id="rId6"/>
    <sheet name="Exec Summary (Logo)" sheetId="6" r:id="rId7"/>
    <sheet name="Arrears" sheetId="7" r:id="rId8"/>
    <sheet name="Breakdown" sheetId="8" r:id="rId9"/>
    <sheet name="Sheet1" sheetId="10" r:id="rId10"/>
    <sheet name="Draft Budget" sheetId="9" r:id="rId1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3" i="8" l="1"/>
  <c r="R12" i="8"/>
  <c r="R11" i="8"/>
  <c r="R10" i="8"/>
  <c r="R9" i="8"/>
  <c r="R8" i="8"/>
  <c r="R7" i="8"/>
  <c r="R6" i="8"/>
  <c r="R5" i="8"/>
  <c r="R4" i="8"/>
  <c r="R3" i="8"/>
  <c r="E15" i="11"/>
  <c r="G3" i="11"/>
  <c r="G4" i="11"/>
  <c r="G6" i="11"/>
  <c r="E14" i="7"/>
  <c r="E35" i="6"/>
  <c r="E13" i="7"/>
  <c r="G13" i="7"/>
  <c r="E12" i="7"/>
  <c r="E11" i="7"/>
  <c r="E10" i="7"/>
  <c r="E9" i="7"/>
  <c r="G9" i="7"/>
  <c r="E8" i="7"/>
  <c r="R7" i="2"/>
  <c r="P53" i="9"/>
  <c r="O52" i="9"/>
  <c r="N52" i="9"/>
  <c r="M52" i="9"/>
  <c r="L52" i="9"/>
  <c r="K52" i="9"/>
  <c r="J52" i="9"/>
  <c r="I52" i="9"/>
  <c r="H52" i="9"/>
  <c r="G52" i="9"/>
  <c r="F52" i="9"/>
  <c r="E52" i="9"/>
  <c r="D52" i="9"/>
  <c r="P51" i="9"/>
  <c r="P50" i="9"/>
  <c r="P52" i="9"/>
  <c r="O48" i="9"/>
  <c r="N48" i="9"/>
  <c r="M48" i="9"/>
  <c r="L48" i="9"/>
  <c r="K48" i="9"/>
  <c r="J48" i="9"/>
  <c r="I48" i="9"/>
  <c r="H48" i="9"/>
  <c r="G48" i="9"/>
  <c r="F48" i="9"/>
  <c r="E48" i="9"/>
  <c r="D48" i="9"/>
  <c r="D34" i="9"/>
  <c r="D54" i="9"/>
  <c r="E5" i="4"/>
  <c r="P47" i="9"/>
  <c r="P46" i="9"/>
  <c r="P45" i="9"/>
  <c r="P41" i="9"/>
  <c r="P39" i="9"/>
  <c r="P38" i="9"/>
  <c r="P37" i="9"/>
  <c r="P36" i="9"/>
  <c r="O34" i="9"/>
  <c r="O54" i="9"/>
  <c r="E16" i="4"/>
  <c r="N34" i="9"/>
  <c r="M34" i="9"/>
  <c r="L34" i="9"/>
  <c r="L54" i="9"/>
  <c r="E13" i="4"/>
  <c r="K34" i="9"/>
  <c r="K54" i="9"/>
  <c r="K14" i="9"/>
  <c r="K56" i="9"/>
  <c r="J34" i="9"/>
  <c r="I34" i="9"/>
  <c r="H34" i="9"/>
  <c r="H54" i="9"/>
  <c r="E9" i="4"/>
  <c r="G34" i="9"/>
  <c r="G54" i="9"/>
  <c r="G14" i="9"/>
  <c r="G56" i="9"/>
  <c r="F34" i="9"/>
  <c r="E34" i="9"/>
  <c r="P33" i="9"/>
  <c r="P32" i="9"/>
  <c r="P31" i="9"/>
  <c r="P30" i="9"/>
  <c r="P29" i="9"/>
  <c r="P28" i="9"/>
  <c r="P26" i="9"/>
  <c r="P25" i="9"/>
  <c r="P24" i="9"/>
  <c r="P23" i="9"/>
  <c r="P22" i="9"/>
  <c r="P20" i="9"/>
  <c r="P19" i="9"/>
  <c r="P18" i="9"/>
  <c r="O14" i="9"/>
  <c r="B22" i="5"/>
  <c r="N14" i="9"/>
  <c r="D15" i="4"/>
  <c r="M14" i="9"/>
  <c r="B21" i="6"/>
  <c r="L14" i="9"/>
  <c r="J14" i="9"/>
  <c r="D11" i="4"/>
  <c r="I14" i="9"/>
  <c r="B17" i="6"/>
  <c r="H14" i="9"/>
  <c r="F14" i="9"/>
  <c r="B14" i="6"/>
  <c r="E14" i="9"/>
  <c r="B13" i="6"/>
  <c r="D14" i="9"/>
  <c r="P12" i="9"/>
  <c r="P11" i="9"/>
  <c r="P10" i="9"/>
  <c r="P9" i="9"/>
  <c r="P8" i="9"/>
  <c r="P7" i="9"/>
  <c r="P6" i="9"/>
  <c r="D21" i="7"/>
  <c r="C21" i="7"/>
  <c r="E20" i="7"/>
  <c r="E19" i="7"/>
  <c r="G19" i="7"/>
  <c r="G39" i="5"/>
  <c r="E18" i="7"/>
  <c r="E39" i="6"/>
  <c r="E17" i="7"/>
  <c r="G17" i="7"/>
  <c r="E16" i="7"/>
  <c r="E15" i="7"/>
  <c r="G15" i="7"/>
  <c r="G35" i="5"/>
  <c r="G11" i="7"/>
  <c r="E7" i="7"/>
  <c r="G7" i="7"/>
  <c r="E6" i="7"/>
  <c r="E28" i="5"/>
  <c r="E5" i="7"/>
  <c r="G5" i="7"/>
  <c r="G27" i="5"/>
  <c r="H41" i="6"/>
  <c r="D41" i="6"/>
  <c r="C41" i="6"/>
  <c r="B41" i="6"/>
  <c r="A41" i="6"/>
  <c r="H40" i="6"/>
  <c r="D40" i="6"/>
  <c r="C40" i="6"/>
  <c r="B40" i="6"/>
  <c r="A40" i="6"/>
  <c r="H39" i="6"/>
  <c r="D39" i="6"/>
  <c r="C39" i="6"/>
  <c r="B39" i="6"/>
  <c r="A39" i="6"/>
  <c r="H38" i="6"/>
  <c r="D38" i="6"/>
  <c r="C38" i="6"/>
  <c r="B38" i="6"/>
  <c r="A38" i="6"/>
  <c r="H37" i="6"/>
  <c r="D37" i="6"/>
  <c r="C37" i="6"/>
  <c r="B37" i="6"/>
  <c r="A37" i="6"/>
  <c r="H36" i="6"/>
  <c r="D36" i="6"/>
  <c r="C36" i="6"/>
  <c r="B36" i="6"/>
  <c r="A36" i="6"/>
  <c r="H35" i="6"/>
  <c r="D35" i="6"/>
  <c r="C35" i="6"/>
  <c r="B35" i="6"/>
  <c r="A35" i="6"/>
  <c r="H34" i="6"/>
  <c r="D34" i="6"/>
  <c r="C34" i="6"/>
  <c r="B34" i="6"/>
  <c r="A34" i="6"/>
  <c r="H33" i="6"/>
  <c r="D33" i="6"/>
  <c r="C33" i="6"/>
  <c r="B33" i="6"/>
  <c r="A33" i="6"/>
  <c r="H32" i="6"/>
  <c r="D32" i="6"/>
  <c r="C32" i="6"/>
  <c r="B32" i="6"/>
  <c r="A32" i="6"/>
  <c r="H31" i="6"/>
  <c r="E31" i="6"/>
  <c r="D31" i="6"/>
  <c r="C31" i="6"/>
  <c r="B31" i="6"/>
  <c r="A31" i="6"/>
  <c r="H30" i="6"/>
  <c r="D30" i="6"/>
  <c r="C30" i="6"/>
  <c r="B30" i="6"/>
  <c r="A30" i="6"/>
  <c r="H29" i="6"/>
  <c r="D29" i="6"/>
  <c r="C29" i="6"/>
  <c r="B29" i="6"/>
  <c r="A29" i="6"/>
  <c r="H28" i="6"/>
  <c r="D28" i="6"/>
  <c r="C28" i="6"/>
  <c r="B28" i="6"/>
  <c r="A28" i="6"/>
  <c r="B23" i="6"/>
  <c r="B19" i="6"/>
  <c r="B15" i="6"/>
  <c r="H40" i="5"/>
  <c r="D40" i="5"/>
  <c r="C40" i="5"/>
  <c r="B40" i="5"/>
  <c r="A40" i="5"/>
  <c r="H39" i="5"/>
  <c r="D39" i="5"/>
  <c r="C39" i="5"/>
  <c r="B39" i="5"/>
  <c r="A39" i="5"/>
  <c r="H38" i="5"/>
  <c r="D38" i="5"/>
  <c r="C38" i="5"/>
  <c r="B38" i="5"/>
  <c r="A38" i="5"/>
  <c r="H37" i="5"/>
  <c r="D37" i="5"/>
  <c r="C37" i="5"/>
  <c r="B37" i="5"/>
  <c r="A37" i="5"/>
  <c r="H36" i="5"/>
  <c r="D36" i="5"/>
  <c r="C36" i="5"/>
  <c r="B36" i="5"/>
  <c r="A36" i="5"/>
  <c r="H35" i="5"/>
  <c r="D35" i="5"/>
  <c r="C35" i="5"/>
  <c r="B35" i="5"/>
  <c r="A35" i="5"/>
  <c r="H34" i="5"/>
  <c r="D34" i="5"/>
  <c r="C34" i="5"/>
  <c r="B34" i="5"/>
  <c r="A34" i="5"/>
  <c r="H33" i="5"/>
  <c r="D33" i="5"/>
  <c r="C33" i="5"/>
  <c r="B33" i="5"/>
  <c r="A33" i="5"/>
  <c r="H32" i="5"/>
  <c r="D32" i="5"/>
  <c r="C32" i="5"/>
  <c r="B32" i="5"/>
  <c r="A32" i="5"/>
  <c r="H31" i="5"/>
  <c r="D31" i="5"/>
  <c r="C31" i="5"/>
  <c r="B31" i="5"/>
  <c r="A31" i="5"/>
  <c r="H30" i="5"/>
  <c r="D30" i="5"/>
  <c r="C30" i="5"/>
  <c r="B30" i="5"/>
  <c r="A30" i="5"/>
  <c r="H29" i="5"/>
  <c r="D29" i="5"/>
  <c r="C29" i="5"/>
  <c r="B29" i="5"/>
  <c r="A29" i="5"/>
  <c r="H28" i="5"/>
  <c r="D28" i="5"/>
  <c r="C28" i="5"/>
  <c r="B28" i="5"/>
  <c r="A28" i="5"/>
  <c r="H27" i="5"/>
  <c r="E27" i="5"/>
  <c r="D27" i="5"/>
  <c r="C27" i="5"/>
  <c r="B27" i="5"/>
  <c r="A27" i="5"/>
  <c r="B18" i="5"/>
  <c r="B17" i="5"/>
  <c r="B15" i="5"/>
  <c r="B14" i="5"/>
  <c r="B13" i="5"/>
  <c r="AO14" i="2"/>
  <c r="D51" i="3"/>
  <c r="AF14" i="2"/>
  <c r="D40" i="3"/>
  <c r="M14" i="2"/>
  <c r="D18" i="3"/>
  <c r="F14" i="2"/>
  <c r="D9" i="3"/>
  <c r="E14" i="2"/>
  <c r="D8" i="3"/>
  <c r="BM14" i="2"/>
  <c r="D79" i="3"/>
  <c r="BL14" i="2"/>
  <c r="D78" i="3"/>
  <c r="BK14" i="2"/>
  <c r="D77" i="3"/>
  <c r="BJ14" i="2"/>
  <c r="D76" i="3"/>
  <c r="BH14" i="2"/>
  <c r="D73" i="3"/>
  <c r="BG14" i="2"/>
  <c r="D72" i="3"/>
  <c r="BF14" i="2"/>
  <c r="D71" i="3"/>
  <c r="BE14" i="2"/>
  <c r="D70" i="3"/>
  <c r="BD14" i="2"/>
  <c r="D69" i="3"/>
  <c r="BB14" i="2"/>
  <c r="D66" i="3"/>
  <c r="BA14" i="2"/>
  <c r="D65" i="3"/>
  <c r="AZ14" i="2"/>
  <c r="D64" i="3"/>
  <c r="AY14" i="2"/>
  <c r="D63" i="3"/>
  <c r="AW14" i="2"/>
  <c r="D60" i="3"/>
  <c r="AV14" i="2"/>
  <c r="D59" i="3"/>
  <c r="AU14" i="2"/>
  <c r="D58" i="3"/>
  <c r="AT14" i="2"/>
  <c r="D57" i="3"/>
  <c r="AR14" i="2"/>
  <c r="D54" i="3"/>
  <c r="AQ14" i="2"/>
  <c r="D53" i="3"/>
  <c r="AP14" i="2"/>
  <c r="D52" i="3"/>
  <c r="AN14" i="2"/>
  <c r="D50" i="3"/>
  <c r="AL14" i="2"/>
  <c r="D47" i="3"/>
  <c r="AK14" i="2"/>
  <c r="D46" i="3"/>
  <c r="AJ14" i="2"/>
  <c r="D45" i="3"/>
  <c r="AI14" i="2"/>
  <c r="D44" i="3"/>
  <c r="AG14" i="2"/>
  <c r="D41" i="3"/>
  <c r="AE14" i="2"/>
  <c r="D39" i="3"/>
  <c r="AD14" i="2"/>
  <c r="D38" i="3"/>
  <c r="AB14" i="2"/>
  <c r="D35" i="3"/>
  <c r="AA14" i="2"/>
  <c r="D34" i="3"/>
  <c r="Z14" i="2"/>
  <c r="D33" i="3"/>
  <c r="Y14" i="2"/>
  <c r="D32" i="3"/>
  <c r="X14" i="2"/>
  <c r="D31" i="3"/>
  <c r="V14" i="2"/>
  <c r="U14" i="2"/>
  <c r="D27" i="3"/>
  <c r="T14" i="2"/>
  <c r="D26" i="3"/>
  <c r="S14" i="2"/>
  <c r="D25" i="3"/>
  <c r="Q14" i="2"/>
  <c r="D22" i="3"/>
  <c r="P14" i="2"/>
  <c r="D21" i="3"/>
  <c r="O14" i="2"/>
  <c r="D20" i="3"/>
  <c r="N14" i="2"/>
  <c r="D19" i="3"/>
  <c r="K14" i="2"/>
  <c r="D15" i="3"/>
  <c r="J14" i="2"/>
  <c r="D14" i="3"/>
  <c r="I14" i="2"/>
  <c r="D13" i="3"/>
  <c r="H14" i="2"/>
  <c r="D12" i="3"/>
  <c r="D14" i="2"/>
  <c r="D7" i="3"/>
  <c r="C14" i="2"/>
  <c r="D6" i="3"/>
  <c r="BO13" i="2"/>
  <c r="BN13" i="2"/>
  <c r="BI13" i="2"/>
  <c r="BC13" i="2"/>
  <c r="AX13" i="2"/>
  <c r="AS13" i="2"/>
  <c r="AM13" i="2"/>
  <c r="AH13" i="2"/>
  <c r="AC13" i="2"/>
  <c r="W13" i="2"/>
  <c r="R13" i="2"/>
  <c r="L13" i="2"/>
  <c r="G13" i="2"/>
  <c r="BO12" i="2"/>
  <c r="BN12" i="2"/>
  <c r="BI12" i="2"/>
  <c r="BC12" i="2"/>
  <c r="AX12" i="2"/>
  <c r="AS12" i="2"/>
  <c r="AM12" i="2"/>
  <c r="AH12" i="2"/>
  <c r="AC12" i="2"/>
  <c r="W12" i="2"/>
  <c r="R12" i="2"/>
  <c r="L12" i="2"/>
  <c r="G12" i="2"/>
  <c r="BO11" i="2"/>
  <c r="BN11" i="2"/>
  <c r="BI11" i="2"/>
  <c r="BC11" i="2"/>
  <c r="AX11" i="2"/>
  <c r="AS11" i="2"/>
  <c r="AM11" i="2"/>
  <c r="AH11" i="2"/>
  <c r="AC11" i="2"/>
  <c r="W11" i="2"/>
  <c r="R11" i="2"/>
  <c r="L11" i="2"/>
  <c r="G11" i="2"/>
  <c r="BO10" i="2"/>
  <c r="BN10" i="2"/>
  <c r="BI10" i="2"/>
  <c r="BC10" i="2"/>
  <c r="AX10" i="2"/>
  <c r="AS10" i="2"/>
  <c r="AM10" i="2"/>
  <c r="AH10" i="2"/>
  <c r="AC10" i="2"/>
  <c r="W10" i="2"/>
  <c r="R10" i="2"/>
  <c r="L10" i="2"/>
  <c r="G10" i="2"/>
  <c r="BO9" i="2"/>
  <c r="BN9" i="2"/>
  <c r="BI9" i="2"/>
  <c r="BC9" i="2"/>
  <c r="AX9" i="2"/>
  <c r="AS9" i="2"/>
  <c r="AM9" i="2"/>
  <c r="AH9" i="2"/>
  <c r="AC9" i="2"/>
  <c r="W9" i="2"/>
  <c r="R9" i="2"/>
  <c r="L9" i="2"/>
  <c r="G9" i="2"/>
  <c r="BO8" i="2"/>
  <c r="BN8" i="2"/>
  <c r="BI8" i="2"/>
  <c r="BC8" i="2"/>
  <c r="AX8" i="2"/>
  <c r="AS8" i="2"/>
  <c r="AM8" i="2"/>
  <c r="AH8" i="2"/>
  <c r="AC8" i="2"/>
  <c r="W8" i="2"/>
  <c r="R8" i="2"/>
  <c r="L8" i="2"/>
  <c r="G8" i="2"/>
  <c r="BO7" i="2"/>
  <c r="BN7" i="2"/>
  <c r="BI7" i="2"/>
  <c r="BC7" i="2"/>
  <c r="AX7" i="2"/>
  <c r="AS7" i="2"/>
  <c r="AM7" i="2"/>
  <c r="AH7" i="2"/>
  <c r="AC7" i="2"/>
  <c r="W7" i="2"/>
  <c r="L7" i="2"/>
  <c r="G7" i="2"/>
  <c r="D80" i="1"/>
  <c r="C80" i="1"/>
  <c r="E79" i="1"/>
  <c r="C79" i="3"/>
  <c r="E78" i="1"/>
  <c r="C78" i="3"/>
  <c r="E78" i="3"/>
  <c r="E77" i="1"/>
  <c r="C77" i="3"/>
  <c r="E77" i="3"/>
  <c r="E76" i="1"/>
  <c r="C76" i="3"/>
  <c r="D74" i="1"/>
  <c r="C74" i="1"/>
  <c r="E73" i="1"/>
  <c r="C73" i="3"/>
  <c r="E72" i="1"/>
  <c r="C72" i="3"/>
  <c r="E71" i="1"/>
  <c r="E70" i="1"/>
  <c r="C70" i="3"/>
  <c r="E69" i="1"/>
  <c r="C69" i="3"/>
  <c r="D67" i="1"/>
  <c r="C67" i="1"/>
  <c r="E66" i="1"/>
  <c r="C66" i="3"/>
  <c r="E65" i="1"/>
  <c r="C65" i="3"/>
  <c r="E64" i="1"/>
  <c r="E63" i="1"/>
  <c r="C63" i="3"/>
  <c r="E63" i="3"/>
  <c r="D61" i="1"/>
  <c r="C61" i="1"/>
  <c r="E60" i="1"/>
  <c r="C60" i="3"/>
  <c r="E60" i="3"/>
  <c r="E59" i="1"/>
  <c r="C59" i="3"/>
  <c r="E59" i="3"/>
  <c r="E58" i="1"/>
  <c r="C58" i="3"/>
  <c r="E57" i="1"/>
  <c r="D55" i="1"/>
  <c r="C55" i="1"/>
  <c r="E54" i="1"/>
  <c r="C54" i="3"/>
  <c r="E53" i="1"/>
  <c r="C53" i="3"/>
  <c r="E53" i="3"/>
  <c r="E52" i="1"/>
  <c r="C52" i="3"/>
  <c r="E52" i="3"/>
  <c r="E51" i="1"/>
  <c r="C51" i="3"/>
  <c r="E50" i="1"/>
  <c r="D48" i="1"/>
  <c r="C48" i="1"/>
  <c r="E47" i="1"/>
  <c r="C47" i="3"/>
  <c r="E46" i="1"/>
  <c r="C46" i="3"/>
  <c r="E45" i="1"/>
  <c r="C45" i="3"/>
  <c r="E44" i="1"/>
  <c r="D42" i="1"/>
  <c r="C42" i="1"/>
  <c r="E41" i="1"/>
  <c r="C41" i="3"/>
  <c r="E40" i="1"/>
  <c r="C40" i="3"/>
  <c r="E39" i="1"/>
  <c r="C39" i="3"/>
  <c r="E39" i="3"/>
  <c r="E38" i="1"/>
  <c r="C38" i="3"/>
  <c r="D36" i="1"/>
  <c r="C36" i="1"/>
  <c r="E35" i="1"/>
  <c r="C35" i="3"/>
  <c r="E34" i="1"/>
  <c r="C34" i="3"/>
  <c r="E33" i="1"/>
  <c r="E32" i="1"/>
  <c r="C32" i="3"/>
  <c r="E31" i="1"/>
  <c r="C31" i="3"/>
  <c r="D29" i="1"/>
  <c r="C29" i="1"/>
  <c r="E28" i="1"/>
  <c r="C28" i="3"/>
  <c r="E27" i="1"/>
  <c r="C27" i="3"/>
  <c r="E26" i="1"/>
  <c r="C26" i="3"/>
  <c r="E25" i="1"/>
  <c r="C25" i="3"/>
  <c r="E25" i="3"/>
  <c r="D23" i="1"/>
  <c r="C23" i="1"/>
  <c r="E22" i="1"/>
  <c r="C22" i="3"/>
  <c r="E21" i="1"/>
  <c r="C21" i="3"/>
  <c r="E20" i="1"/>
  <c r="C20" i="3"/>
  <c r="E19" i="1"/>
  <c r="C19" i="3"/>
  <c r="E18" i="1"/>
  <c r="D16" i="1"/>
  <c r="C16" i="1"/>
  <c r="E15" i="1"/>
  <c r="C15" i="3"/>
  <c r="E15" i="3"/>
  <c r="E14" i="1"/>
  <c r="C14" i="3"/>
  <c r="E13" i="1"/>
  <c r="C13" i="3"/>
  <c r="E12" i="1"/>
  <c r="C12" i="3"/>
  <c r="D10" i="1"/>
  <c r="C10" i="1"/>
  <c r="E9" i="1"/>
  <c r="C9" i="3"/>
  <c r="E8" i="1"/>
  <c r="C8" i="3"/>
  <c r="E7" i="1"/>
  <c r="E6" i="1"/>
  <c r="C6" i="3"/>
  <c r="D16" i="4"/>
  <c r="D13" i="4"/>
  <c r="D12" i="4"/>
  <c r="D9" i="4"/>
  <c r="D8" i="4"/>
  <c r="D5" i="4"/>
  <c r="D28" i="3"/>
  <c r="E27" i="3"/>
  <c r="R14" i="8"/>
  <c r="E6" i="3"/>
  <c r="E58" i="3"/>
  <c r="E34" i="3"/>
  <c r="E46" i="3"/>
  <c r="E13" i="3"/>
  <c r="D10" i="4"/>
  <c r="E47" i="3"/>
  <c r="BI14" i="2"/>
  <c r="AH14" i="2"/>
  <c r="BN14" i="2"/>
  <c r="D20" i="6"/>
  <c r="B21" i="5"/>
  <c r="L14" i="2"/>
  <c r="D21" i="5"/>
  <c r="F21" i="5"/>
  <c r="E35" i="5"/>
  <c r="E54" i="9"/>
  <c r="E6" i="4"/>
  <c r="F54" i="9"/>
  <c r="E7" i="4"/>
  <c r="E8" i="4"/>
  <c r="I54" i="9"/>
  <c r="E10" i="4"/>
  <c r="J54" i="9"/>
  <c r="E11" i="4"/>
  <c r="E12" i="4"/>
  <c r="M54" i="9"/>
  <c r="E14" i="4"/>
  <c r="N54" i="9"/>
  <c r="E15" i="4"/>
  <c r="E17" i="4"/>
  <c r="E65" i="3"/>
  <c r="E54" i="3"/>
  <c r="E70" i="3"/>
  <c r="E32" i="3"/>
  <c r="E31" i="5"/>
  <c r="E8" i="3"/>
  <c r="E51" i="3"/>
  <c r="AM14" i="2"/>
  <c r="D14" i="5"/>
  <c r="F14" i="5"/>
  <c r="D22" i="6"/>
  <c r="BC14" i="2"/>
  <c r="D7" i="4"/>
  <c r="F12" i="1"/>
  <c r="E20" i="3"/>
  <c r="E28" i="3"/>
  <c r="E48" i="1"/>
  <c r="C48" i="3"/>
  <c r="E72" i="3"/>
  <c r="E39" i="5"/>
  <c r="P34" i="9"/>
  <c r="E41" i="3"/>
  <c r="D6" i="4"/>
  <c r="D14" i="4"/>
  <c r="D17" i="4"/>
  <c r="F20" i="1"/>
  <c r="P48" i="9"/>
  <c r="E29" i="1"/>
  <c r="C11" i="5"/>
  <c r="E34" i="6"/>
  <c r="E37" i="5"/>
  <c r="E29" i="5"/>
  <c r="E33" i="5"/>
  <c r="E38" i="6"/>
  <c r="E30" i="6"/>
  <c r="R14" i="2"/>
  <c r="D23" i="3"/>
  <c r="C87" i="3"/>
  <c r="E22" i="3"/>
  <c r="G6" i="6"/>
  <c r="E21" i="7"/>
  <c r="C57" i="3"/>
  <c r="E57" i="3"/>
  <c r="E61" i="1"/>
  <c r="C8" i="4"/>
  <c r="D15" i="6"/>
  <c r="F15" i="6"/>
  <c r="D18" i="5"/>
  <c r="F18" i="5"/>
  <c r="C12" i="4"/>
  <c r="D19" i="6"/>
  <c r="D74" i="3"/>
  <c r="C95" i="3"/>
  <c r="D13" i="5"/>
  <c r="C7" i="4"/>
  <c r="D67" i="3"/>
  <c r="C94" i="3"/>
  <c r="D18" i="6"/>
  <c r="D17" i="5"/>
  <c r="F17" i="5"/>
  <c r="C11" i="4"/>
  <c r="D19" i="5"/>
  <c r="C13" i="4"/>
  <c r="C50" i="3"/>
  <c r="E50" i="3"/>
  <c r="E55" i="1"/>
  <c r="E80" i="1"/>
  <c r="D42" i="3"/>
  <c r="C90" i="3"/>
  <c r="E79" i="3"/>
  <c r="C33" i="3"/>
  <c r="E33" i="3"/>
  <c r="E36" i="1"/>
  <c r="C64" i="3"/>
  <c r="E64" i="3"/>
  <c r="E67" i="1"/>
  <c r="C7" i="3"/>
  <c r="E7" i="3"/>
  <c r="E81" i="1"/>
  <c r="F28" i="1"/>
  <c r="F8" i="1"/>
  <c r="F29" i="1"/>
  <c r="F18" i="1"/>
  <c r="C18" i="3"/>
  <c r="E18" i="3"/>
  <c r="E23" i="1"/>
  <c r="E40" i="3"/>
  <c r="E42" i="1"/>
  <c r="C71" i="3"/>
  <c r="E71" i="3"/>
  <c r="E74" i="1"/>
  <c r="AX14" i="2"/>
  <c r="F19" i="6"/>
  <c r="E26" i="3"/>
  <c r="W14" i="2"/>
  <c r="C44" i="3"/>
  <c r="E44" i="3"/>
  <c r="E69" i="3"/>
  <c r="E14" i="3"/>
  <c r="F26" i="1"/>
  <c r="E35" i="3"/>
  <c r="E38" i="3"/>
  <c r="E45" i="3"/>
  <c r="E66" i="3"/>
  <c r="E73" i="3"/>
  <c r="E76" i="3"/>
  <c r="G14" i="2"/>
  <c r="AC14" i="2"/>
  <c r="BO14" i="2"/>
  <c r="G28" i="6"/>
  <c r="G30" i="6"/>
  <c r="G29" i="5"/>
  <c r="G31" i="5"/>
  <c r="G32" i="6"/>
  <c r="E21" i="3"/>
  <c r="AS14" i="2"/>
  <c r="F80" i="1"/>
  <c r="F79" i="1"/>
  <c r="F77" i="1"/>
  <c r="F74" i="1"/>
  <c r="F73" i="1"/>
  <c r="F71" i="1"/>
  <c r="F69" i="1"/>
  <c r="F65" i="1"/>
  <c r="F63" i="1"/>
  <c r="F59" i="1"/>
  <c r="F57" i="1"/>
  <c r="F53" i="1"/>
  <c r="F51" i="1"/>
  <c r="F48" i="1"/>
  <c r="F47" i="1"/>
  <c r="F45" i="1"/>
  <c r="F42" i="1"/>
  <c r="F41" i="1"/>
  <c r="F39" i="1"/>
  <c r="F36" i="1"/>
  <c r="F35" i="1"/>
  <c r="F33" i="1"/>
  <c r="F31" i="1"/>
  <c r="F27" i="1"/>
  <c r="F25" i="1"/>
  <c r="F21" i="1"/>
  <c r="F19" i="1"/>
  <c r="F16" i="1"/>
  <c r="F15" i="1"/>
  <c r="F13" i="1"/>
  <c r="F10" i="1"/>
  <c r="F9" i="1"/>
  <c r="F7" i="1"/>
  <c r="F78" i="1"/>
  <c r="F76" i="1"/>
  <c r="F72" i="1"/>
  <c r="F70" i="1"/>
  <c r="F67" i="1"/>
  <c r="F66" i="1"/>
  <c r="F64" i="1"/>
  <c r="F61" i="1"/>
  <c r="F60" i="1"/>
  <c r="F58" i="1"/>
  <c r="F55" i="1"/>
  <c r="F54" i="1"/>
  <c r="F52" i="1"/>
  <c r="F50" i="1"/>
  <c r="F46" i="1"/>
  <c r="F44" i="1"/>
  <c r="F40" i="1"/>
  <c r="F38" i="1"/>
  <c r="F34" i="1"/>
  <c r="F32" i="1"/>
  <c r="E10" i="1"/>
  <c r="E19" i="3"/>
  <c r="E31" i="3"/>
  <c r="F6" i="1"/>
  <c r="E9" i="3"/>
  <c r="E12" i="3"/>
  <c r="F14" i="1"/>
  <c r="E16" i="1"/>
  <c r="F22" i="1"/>
  <c r="F23" i="1"/>
  <c r="G36" i="6"/>
  <c r="D56" i="9"/>
  <c r="B12" i="6"/>
  <c r="P14" i="9"/>
  <c r="H56" i="9"/>
  <c r="B16" i="6"/>
  <c r="L56" i="9"/>
  <c r="B20" i="6"/>
  <c r="B11" i="5"/>
  <c r="F13" i="5"/>
  <c r="G40" i="6"/>
  <c r="E29" i="6"/>
  <c r="G6" i="7"/>
  <c r="G5" i="5"/>
  <c r="E33" i="6"/>
  <c r="G12" i="7"/>
  <c r="E32" i="5"/>
  <c r="E37" i="6"/>
  <c r="G16" i="7"/>
  <c r="E36" i="5"/>
  <c r="E41" i="6"/>
  <c r="G20" i="7"/>
  <c r="E40" i="5"/>
  <c r="G38" i="6"/>
  <c r="G37" i="5"/>
  <c r="F56" i="9"/>
  <c r="J56" i="9"/>
  <c r="G34" i="6"/>
  <c r="G33" i="5"/>
  <c r="B19" i="5"/>
  <c r="G8" i="7"/>
  <c r="E30" i="5"/>
  <c r="G14" i="7"/>
  <c r="E34" i="5"/>
  <c r="G18" i="7"/>
  <c r="E38" i="5"/>
  <c r="O56" i="9"/>
  <c r="B12" i="5"/>
  <c r="B16" i="5"/>
  <c r="B20" i="5"/>
  <c r="B18" i="6"/>
  <c r="B22" i="6"/>
  <c r="E28" i="6"/>
  <c r="E32" i="6"/>
  <c r="E36" i="6"/>
  <c r="E40" i="6"/>
  <c r="D14" i="6"/>
  <c r="F14" i="6"/>
  <c r="B8" i="4"/>
  <c r="E56" i="9"/>
  <c r="D23" i="6"/>
  <c r="F23" i="6"/>
  <c r="C15" i="6"/>
  <c r="C14" i="5"/>
  <c r="G14" i="5"/>
  <c r="B5" i="4"/>
  <c r="D16" i="3"/>
  <c r="C86" i="3"/>
  <c r="C12" i="6"/>
  <c r="M56" i="9"/>
  <c r="F22" i="6"/>
  <c r="N56" i="9"/>
  <c r="C16" i="4"/>
  <c r="F8" i="4"/>
  <c r="D80" i="3"/>
  <c r="C96" i="3"/>
  <c r="C15" i="4"/>
  <c r="D48" i="3"/>
  <c r="C91" i="3"/>
  <c r="C29" i="3"/>
  <c r="B88" i="3"/>
  <c r="I56" i="9"/>
  <c r="F19" i="5"/>
  <c r="D22" i="5"/>
  <c r="F22" i="5"/>
  <c r="P54" i="9"/>
  <c r="P56" i="9"/>
  <c r="E41" i="5"/>
  <c r="E42" i="6"/>
  <c r="G39" i="6"/>
  <c r="G38" i="5"/>
  <c r="C21" i="6"/>
  <c r="C20" i="5"/>
  <c r="C10" i="3"/>
  <c r="B14" i="4"/>
  <c r="C22" i="5"/>
  <c r="C23" i="6"/>
  <c r="C23" i="3"/>
  <c r="B87" i="3"/>
  <c r="B16" i="4"/>
  <c r="F16" i="4"/>
  <c r="B91" i="3"/>
  <c r="C16" i="6"/>
  <c r="B9" i="4"/>
  <c r="C15" i="5"/>
  <c r="C55" i="3"/>
  <c r="G32" i="5"/>
  <c r="G33" i="6"/>
  <c r="C21" i="5"/>
  <c r="C16" i="3"/>
  <c r="C22" i="6"/>
  <c r="B15" i="4"/>
  <c r="F15" i="4"/>
  <c r="F18" i="6"/>
  <c r="D15" i="5"/>
  <c r="F15" i="5"/>
  <c r="D16" i="6"/>
  <c r="F16" i="6"/>
  <c r="D55" i="3"/>
  <c r="C92" i="3"/>
  <c r="C9" i="4"/>
  <c r="D13" i="6"/>
  <c r="F13" i="6"/>
  <c r="D36" i="3"/>
  <c r="C89" i="3"/>
  <c r="D12" i="5"/>
  <c r="F12" i="5"/>
  <c r="C6" i="4"/>
  <c r="C13" i="5"/>
  <c r="C42" i="3"/>
  <c r="C14" i="6"/>
  <c r="B7" i="4"/>
  <c r="F7" i="4"/>
  <c r="E5" i="5"/>
  <c r="A6" i="6"/>
  <c r="E6" i="6"/>
  <c r="A5" i="5"/>
  <c r="C81" i="3"/>
  <c r="F81" i="1"/>
  <c r="C17" i="5"/>
  <c r="C18" i="6"/>
  <c r="C67" i="3"/>
  <c r="B11" i="4"/>
  <c r="F11" i="4"/>
  <c r="E14" i="5"/>
  <c r="H14" i="5"/>
  <c r="C61" i="3"/>
  <c r="C17" i="6"/>
  <c r="C16" i="5"/>
  <c r="B10" i="4"/>
  <c r="G31" i="6"/>
  <c r="G30" i="5"/>
  <c r="G28" i="5"/>
  <c r="G29" i="6"/>
  <c r="C18" i="5"/>
  <c r="C19" i="6"/>
  <c r="C74" i="3"/>
  <c r="B12" i="4"/>
  <c r="F12" i="4"/>
  <c r="B23" i="5"/>
  <c r="C6" i="6"/>
  <c r="D81" i="3"/>
  <c r="C5" i="5"/>
  <c r="E15" i="6"/>
  <c r="H15" i="6"/>
  <c r="G15" i="6"/>
  <c r="G11" i="5"/>
  <c r="G35" i="6"/>
  <c r="G34" i="5"/>
  <c r="G36" i="5"/>
  <c r="G37" i="6"/>
  <c r="F20" i="6"/>
  <c r="G40" i="5"/>
  <c r="G41" i="6"/>
  <c r="B24" i="6"/>
  <c r="D21" i="6"/>
  <c r="F21" i="6"/>
  <c r="D10" i="3"/>
  <c r="C85" i="3"/>
  <c r="C14" i="4"/>
  <c r="D20" i="5"/>
  <c r="F20" i="5"/>
  <c r="D11" i="5"/>
  <c r="E11" i="5"/>
  <c r="D12" i="6"/>
  <c r="D29" i="3"/>
  <c r="C88" i="3"/>
  <c r="C5" i="4"/>
  <c r="D17" i="6"/>
  <c r="F17" i="6"/>
  <c r="D16" i="5"/>
  <c r="F16" i="5"/>
  <c r="D61" i="3"/>
  <c r="C93" i="3"/>
  <c r="C10" i="4"/>
  <c r="C13" i="6"/>
  <c r="C12" i="5"/>
  <c r="C36" i="3"/>
  <c r="B6" i="4"/>
  <c r="C20" i="6"/>
  <c r="C80" i="3"/>
  <c r="B13" i="4"/>
  <c r="F13" i="4"/>
  <c r="C19" i="5"/>
  <c r="G12" i="6"/>
  <c r="D24" i="6"/>
  <c r="F10" i="4"/>
  <c r="E48" i="3"/>
  <c r="E12" i="5"/>
  <c r="H12" i="5"/>
  <c r="G12" i="5"/>
  <c r="E18" i="6"/>
  <c r="H18" i="6"/>
  <c r="G18" i="6"/>
  <c r="G21" i="5"/>
  <c r="E21" i="5"/>
  <c r="H21" i="5"/>
  <c r="E20" i="5"/>
  <c r="H20" i="5"/>
  <c r="G20" i="5"/>
  <c r="C24" i="6"/>
  <c r="G13" i="6"/>
  <c r="E13" i="6"/>
  <c r="H13" i="6"/>
  <c r="C23" i="5"/>
  <c r="F11" i="5"/>
  <c r="F23" i="5"/>
  <c r="E74" i="3"/>
  <c r="B95" i="3"/>
  <c r="E16" i="5"/>
  <c r="H16" i="5"/>
  <c r="G16" i="5"/>
  <c r="G17" i="5"/>
  <c r="E17" i="5"/>
  <c r="H17" i="5"/>
  <c r="E14" i="6"/>
  <c r="H14" i="6"/>
  <c r="G14" i="6"/>
  <c r="E15" i="5"/>
  <c r="H15" i="5"/>
  <c r="G15" i="5"/>
  <c r="G21" i="6"/>
  <c r="E21" i="6"/>
  <c r="H21" i="6"/>
  <c r="E19" i="5"/>
  <c r="H19" i="5"/>
  <c r="G19" i="5"/>
  <c r="C17" i="4"/>
  <c r="F12" i="6"/>
  <c r="F24" i="6"/>
  <c r="E29" i="3"/>
  <c r="E19" i="6"/>
  <c r="H19" i="6"/>
  <c r="G19" i="6"/>
  <c r="F5" i="4"/>
  <c r="G17" i="6"/>
  <c r="E17" i="6"/>
  <c r="H17" i="6"/>
  <c r="B90" i="3"/>
  <c r="E42" i="3"/>
  <c r="E22" i="6"/>
  <c r="H22" i="6"/>
  <c r="G22" i="6"/>
  <c r="F9" i="4"/>
  <c r="F14" i="4"/>
  <c r="B96" i="3"/>
  <c r="E80" i="3"/>
  <c r="B92" i="3"/>
  <c r="E55" i="3"/>
  <c r="E23" i="6"/>
  <c r="H23" i="6"/>
  <c r="G23" i="6"/>
  <c r="G20" i="6"/>
  <c r="E20" i="6"/>
  <c r="H20" i="6"/>
  <c r="D23" i="5"/>
  <c r="G22" i="5"/>
  <c r="E22" i="5"/>
  <c r="H22" i="5"/>
  <c r="F6" i="4"/>
  <c r="E12" i="6"/>
  <c r="B89" i="3"/>
  <c r="E36" i="3"/>
  <c r="G18" i="5"/>
  <c r="E18" i="5"/>
  <c r="H18" i="5"/>
  <c r="B17" i="4"/>
  <c r="B93" i="3"/>
  <c r="E61" i="3"/>
  <c r="B94" i="3"/>
  <c r="E67" i="3"/>
  <c r="E81" i="3"/>
  <c r="G13" i="5"/>
  <c r="E13" i="5"/>
  <c r="H13" i="5"/>
  <c r="B86" i="3"/>
  <c r="E16" i="3"/>
  <c r="G16" i="6"/>
  <c r="E16" i="6"/>
  <c r="H16" i="6"/>
  <c r="E23" i="3"/>
  <c r="B85" i="3"/>
  <c r="E10" i="3"/>
  <c r="G24" i="6"/>
  <c r="G23" i="5"/>
  <c r="H12" i="6"/>
  <c r="E24" i="6"/>
  <c r="E23" i="5"/>
  <c r="F17" i="4"/>
  <c r="H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6" authorId="0" shapeId="0" xr:uid="{00000000-0006-0000-0800-000001000000}">
      <text>
        <r>
          <rPr>
            <sz val="10"/>
            <rFont val="Arial"/>
            <family val="2"/>
          </rPr>
          <t>Simon:
Trainings
Volunteer Appreciations
Props &amp; Crafts
Stationeries</t>
        </r>
      </text>
    </comment>
    <comment ref="B37" authorId="0" shapeId="0" xr:uid="{00000000-0006-0000-0800-000002000000}">
      <text>
        <r>
          <rPr>
            <sz val="10"/>
            <rFont val="Arial"/>
            <family val="2"/>
          </rPr>
          <t>Simon:
Deco
Trainings
Wshop
Refreshments
Band costs
Consumables</t>
        </r>
      </text>
    </comment>
    <comment ref="B38" authorId="0" shapeId="0" xr:uid="{00000000-0006-0000-0800-000003000000}">
      <text>
        <r>
          <rPr>
            <sz val="10"/>
            <rFont val="Arial"/>
            <family val="2"/>
          </rPr>
          <t>Simon:
Programs (Mizizi)
Admin Costs
Materials</t>
        </r>
      </text>
    </comment>
  </commentList>
</comments>
</file>

<file path=xl/sharedStrings.xml><?xml version="1.0" encoding="utf-8"?>
<sst xmlns="http://schemas.openxmlformats.org/spreadsheetml/2006/main" count="632" uniqueCount="320">
  <si>
    <t>KingdomCity Church Nanyuki</t>
  </si>
  <si>
    <t>Collections Budget 2026</t>
  </si>
  <si>
    <t>Date</t>
  </si>
  <si>
    <t>Sunday</t>
  </si>
  <si>
    <t>Cash (KES)</t>
  </si>
  <si>
    <t>Paybill (KES)</t>
  </si>
  <si>
    <t>Weekly Total (KES)</t>
  </si>
  <si>
    <t>Running Balance (KES)</t>
  </si>
  <si>
    <t>JANUARY 2026</t>
  </si>
  <si>
    <t>Sunday 1</t>
  </si>
  <si>
    <t>Sunday 2</t>
  </si>
  <si>
    <t>Sunday 3</t>
  </si>
  <si>
    <t>Sunday 4</t>
  </si>
  <si>
    <t>Total – JANUARY</t>
  </si>
  <si>
    <t>FEBRUARY 2026</t>
  </si>
  <si>
    <t>Total – FEBRUARY</t>
  </si>
  <si>
    <t>MARCH 2026</t>
  </si>
  <si>
    <t>Sunday 5</t>
  </si>
  <si>
    <t>Total – MARCH</t>
  </si>
  <si>
    <t>APRIL 2026</t>
  </si>
  <si>
    <t>Total – APRIL</t>
  </si>
  <si>
    <t>MAY 2026</t>
  </si>
  <si>
    <t>Total – MAY</t>
  </si>
  <si>
    <t>JUNE 2026</t>
  </si>
  <si>
    <t>Total – JUNE</t>
  </si>
  <si>
    <t>JULY 2026</t>
  </si>
  <si>
    <t>Total – JULY</t>
  </si>
  <si>
    <t>AUGUST 2026</t>
  </si>
  <si>
    <t>Total – AUGUST</t>
  </si>
  <si>
    <t>SEPTEMBER 2026</t>
  </si>
  <si>
    <t>Total – SEPTEMBER</t>
  </si>
  <si>
    <t>OCTOBER 2026</t>
  </si>
  <si>
    <t>Total – OCTOBER</t>
  </si>
  <si>
    <t>NOVEMBER 2026</t>
  </si>
  <si>
    <t>Total – NOVEMBER</t>
  </si>
  <si>
    <t>DECEMBER 2026</t>
  </si>
  <si>
    <t>Total – DECEMBER</t>
  </si>
  <si>
    <t>Grand Total Collections 2026</t>
  </si>
  <si>
    <t>Kingdom City Church Nanyuki</t>
  </si>
  <si>
    <t>Weekly Expenses Budget 2026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</si>
  <si>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</si>
  <si>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</si>
  <si>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</si>
  <si>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</si>
  <si>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</si>
  <si>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</si>
  <si>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</si>
  <si>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</si>
  <si>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</si>
  <si>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</si>
  <si>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</si>
  <si>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</si>
  <si>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</si>
  <si>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</si>
  <si>
    <t>DATE</t>
  </si>
  <si>
    <t>YEAR</t>
  </si>
  <si>
    <t>SUNDAY</t>
  </si>
  <si>
    <t>Sun 1</t>
  </si>
  <si>
    <t>Sun 2</t>
  </si>
  <si>
    <t>Sun 3</t>
  </si>
  <si>
    <t>Sun 4</t>
  </si>
  <si>
    <t>TOTAL</t>
  </si>
  <si>
    <t>Sun 5</t>
  </si>
  <si>
    <t>Keyboardist</t>
  </si>
  <si>
    <t>Drummer</t>
  </si>
  <si>
    <t>Kids Teacher</t>
  </si>
  <si>
    <t>Caretaker</t>
  </si>
  <si>
    <t>KPLC Tokens</t>
  </si>
  <si>
    <t>WEEKLY TOTAL</t>
  </si>
  <si>
    <t>Weekly &amp; Monthly Collections vs Expenses Summary 2026</t>
  </si>
  <si>
    <t>Total Collections
(KES)</t>
  </si>
  <si>
    <t>Total Expenses
(KES)</t>
  </si>
  <si>
    <t>Net (Collections
– Expenses) (KES)</t>
  </si>
  <si>
    <t>Notes</t>
  </si>
  <si>
    <t>January 2027</t>
  </si>
  <si>
    <t>Total – January 2027</t>
  </si>
  <si>
    <t>February 2027</t>
  </si>
  <si>
    <t>Total – February 2027</t>
  </si>
  <si>
    <t>March 2027</t>
  </si>
  <si>
    <t>Total – March 2027</t>
  </si>
  <si>
    <t>April 2026</t>
  </si>
  <si>
    <t>Total – April</t>
  </si>
  <si>
    <t>May 2026</t>
  </si>
  <si>
    <t>Total – May</t>
  </si>
  <si>
    <t>June 2026</t>
  </si>
  <si>
    <t>Total – June</t>
  </si>
  <si>
    <t>July 2026</t>
  </si>
  <si>
    <t>Total – July</t>
  </si>
  <si>
    <t>August 2026</t>
  </si>
  <si>
    <t>Total – August</t>
  </si>
  <si>
    <t>September 2026</t>
  </si>
  <si>
    <t>Total – September</t>
  </si>
  <si>
    <t>October 2026</t>
  </si>
  <si>
    <t>Total – October</t>
  </si>
  <si>
    <t>November 2026</t>
  </si>
  <si>
    <t>Total – November</t>
  </si>
  <si>
    <t>December 2026</t>
  </si>
  <si>
    <t>Total – December</t>
  </si>
  <si>
    <t>GRAND TOTAL 2026</t>
  </si>
  <si>
    <t>Monthly Collections vs Expenses</t>
  </si>
  <si>
    <t>Month</t>
  </si>
  <si>
    <t>Collections</t>
  </si>
  <si>
    <t>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</si>
  <si>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</si>
  <si>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</si>
  <si>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</si>
  <si>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</si>
  <si>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</si>
  <si>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</si>
  <si>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</si>
  <si>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</si>
  <si>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</si>
  <si>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</si>
  <si>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</si>
  <si>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</si>
  <si>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Kingdom City Church Nanyuki — Financial Charts 2026</t>
  </si>
  <si>
    <t>Live-linked from Collections, Expenses &amp; Draft Budget sheets</t>
  </si>
  <si>
    <t>Budget Income</t>
  </si>
  <si>
    <t>Budget Expenses</t>
  </si>
  <si>
    <t>Net</t>
  </si>
  <si>
    <t>EXECUTIVE FINANCIAL SUMMARY — 2026</t>
  </si>
  <si>
    <t>TOTAL COLLECTIONS YTD</t>
  </si>
  <si>
    <t>TOTAL EXPENSES YTD</t>
  </si>
  <si>
    <t>NET POSITION YTD</t>
  </si>
  <si>
    <t>TOTAL ARREARS</t>
  </si>
  <si>
    <t>MONTHLY PERFORMANCE SUMMARY</t>
  </si>
  <si>
    <t>Budgeted
Income</t>
  </si>
  <si>
    <t>Actual
Collections</t>
  </si>
  <si>
    <t>Actual
Expenses</t>
  </si>
  <si>
    <t>Net (KES)</t>
  </si>
  <si>
    <t>Budget
Surplus/(Deficit)</t>
  </si>
  <si>
    <t>Variance
vs Budget</t>
  </si>
  <si>
    <t>Status</t>
  </si>
  <si>
    <t>ARREARS SNAPSHOT</t>
  </si>
  <si>
    <t>Expense Item</t>
  </si>
  <si>
    <t>Period</t>
  </si>
  <si>
    <t>Amount Due
(KES)</t>
  </si>
  <si>
    <t>Amount Paid
(KES)</t>
  </si>
  <si>
    <t>Balance Owing
(KES)</t>
  </si>
  <si>
    <t>TOTAL ARREARS OUTSTANDING</t>
  </si>
  <si>
    <t>Relevant  |  Relational  |  Refreshing</t>
  </si>
  <si>
    <t>Kingdom City Church Nanyuki  |  Finance Department  |  2026</t>
  </si>
  <si>
    <t>Kingdom City Church Nanyuki — Expense Arrears Tracker 2026</t>
  </si>
  <si>
    <t>Blue cells = input.  Balance Owing auto-calculates.  Status auto-updates: red = unpaid, green = paid.</t>
  </si>
  <si>
    <t>Month Incurred</t>
  </si>
  <si>
    <t>Date Paid</t>
  </si>
  <si>
    <t>Payment Status</t>
  </si>
  <si>
    <t>Paid By / Ref</t>
  </si>
  <si>
    <t>Jan – Mar 2026</t>
  </si>
  <si>
    <t>Rent</t>
  </si>
  <si>
    <t>Nov – Dec 2025</t>
  </si>
  <si>
    <t>Arrears outstanding</t>
  </si>
  <si>
    <t>Beisa Hotel</t>
  </si>
  <si>
    <t>2025</t>
  </si>
  <si>
    <t>Iserve</t>
  </si>
  <si>
    <t>Nawasco</t>
  </si>
  <si>
    <t>Extra Item 1</t>
  </si>
  <si>
    <t>Extra Item 2</t>
  </si>
  <si>
    <t>Extra Item 3</t>
  </si>
  <si>
    <t>STATIC RECORD — Kingdom City Church Nanyuki | March 2026 Breakdown (values only, not linked)</t>
  </si>
  <si>
    <t>Denomination</t>
  </si>
  <si>
    <t>Units</t>
  </si>
  <si>
    <t>Total</t>
  </si>
  <si>
    <t>Standard Sunday expenses</t>
  </si>
  <si>
    <t>Keys</t>
  </si>
  <si>
    <t>Drumer</t>
  </si>
  <si>
    <t>Kkids</t>
  </si>
  <si>
    <t>Cash handed over by Rev. Peter</t>
  </si>
  <si>
    <t>14.03.2026</t>
  </si>
  <si>
    <t xml:space="preserve">Cash withdrawal </t>
  </si>
  <si>
    <t>Total cash in hand</t>
  </si>
  <si>
    <t>08.03.2026</t>
  </si>
  <si>
    <t>1,000 Mpesa fare -kim</t>
  </si>
  <si>
    <t>KPLC</t>
  </si>
  <si>
    <t>Mpesa -kim</t>
  </si>
  <si>
    <t>Tissue</t>
  </si>
  <si>
    <t>15.03.2026</t>
  </si>
  <si>
    <t>Cash 4,000 - Mpesa 1,000-kim</t>
  </si>
  <si>
    <t>Sanitary bins</t>
  </si>
  <si>
    <t>NB- 3,000 unpaid</t>
  </si>
  <si>
    <t>22.03.2026</t>
  </si>
  <si>
    <t>ARREARS</t>
  </si>
  <si>
    <t>Arrears</t>
  </si>
  <si>
    <t>KINGDOM CITY CHURCH NANYUKI — BUDGET</t>
  </si>
  <si>
    <t>FINANCIAL YEAR 2026/2027</t>
  </si>
  <si>
    <t>NO.</t>
  </si>
  <si>
    <t>PARTICULARS</t>
  </si>
  <si>
    <t>Codes</t>
  </si>
  <si>
    <t>TOTALS</t>
  </si>
  <si>
    <t>INCOMES</t>
  </si>
  <si>
    <t>Offerings</t>
  </si>
  <si>
    <t>001/1/005</t>
  </si>
  <si>
    <t>Tithe</t>
  </si>
  <si>
    <t>001/1/010</t>
  </si>
  <si>
    <t>Donation/Grants-Cash</t>
  </si>
  <si>
    <t>001/1/015</t>
  </si>
  <si>
    <t>Donation/Grants-Kind</t>
  </si>
  <si>
    <t>001/1/020</t>
  </si>
  <si>
    <t>Soko Sales</t>
  </si>
  <si>
    <t>001/1/025</t>
  </si>
  <si>
    <t>Gain on Disposals</t>
  </si>
  <si>
    <t>001/1/030</t>
  </si>
  <si>
    <t>Other Incomes</t>
  </si>
  <si>
    <t>001/1/035</t>
  </si>
  <si>
    <t>Totals</t>
  </si>
  <si>
    <t>EXPENSES</t>
  </si>
  <si>
    <t>Administration</t>
  </si>
  <si>
    <t>001/2/001</t>
  </si>
  <si>
    <t>Water</t>
  </si>
  <si>
    <t>001/2/002</t>
  </si>
  <si>
    <t>Electricity</t>
  </si>
  <si>
    <t>001/2/003</t>
  </si>
  <si>
    <t>Transport</t>
  </si>
  <si>
    <t>001/2/004</t>
  </si>
  <si>
    <t>Insurance</t>
  </si>
  <si>
    <t>001/2/005</t>
  </si>
  <si>
    <t>Security</t>
  </si>
  <si>
    <t>001/2/006</t>
  </si>
  <si>
    <t>Communication/Telephone</t>
  </si>
  <si>
    <t>001/2/007</t>
  </si>
  <si>
    <t>Stationery</t>
  </si>
  <si>
    <t>001/2/008</t>
  </si>
  <si>
    <t>Refreshments</t>
  </si>
  <si>
    <t>001/2/009</t>
  </si>
  <si>
    <t>Health &amp; Safety(Fumigation/F.Extiguishers)</t>
  </si>
  <si>
    <t>001/2/010</t>
  </si>
  <si>
    <t>Hospitality</t>
  </si>
  <si>
    <t>001/2/011</t>
  </si>
  <si>
    <t>Detergents &amp; Toiletries</t>
  </si>
  <si>
    <t>001/2/012</t>
  </si>
  <si>
    <t>Consultancy Fee</t>
  </si>
  <si>
    <t>001/2/013</t>
  </si>
  <si>
    <t>Repair &amp; Maintenance</t>
  </si>
  <si>
    <t>001/2/014</t>
  </si>
  <si>
    <t>Licences</t>
  </si>
  <si>
    <t>001/2/015</t>
  </si>
  <si>
    <t>Audit Fees</t>
  </si>
  <si>
    <t>001/2/016</t>
  </si>
  <si>
    <t>Ministry &amp; Departments</t>
  </si>
  <si>
    <t>K.Kids</t>
  </si>
  <si>
    <t>001/3/001</t>
  </si>
  <si>
    <t>Worship &amp; Services</t>
  </si>
  <si>
    <t>001/3/002</t>
  </si>
  <si>
    <t>Discipleship Programes</t>
  </si>
  <si>
    <t>001/3/003</t>
  </si>
  <si>
    <t>Production, Sound &amp; Lighting</t>
  </si>
  <si>
    <t>001/3/004</t>
  </si>
  <si>
    <t>Wages</t>
  </si>
  <si>
    <t>001/3/005</t>
  </si>
  <si>
    <t>Training &amp; Development</t>
  </si>
  <si>
    <t>001/3/006</t>
  </si>
  <si>
    <t>Pastoral Allowances/ Salaries</t>
  </si>
  <si>
    <t>001/3/007</t>
  </si>
  <si>
    <t>Pastoral Care</t>
  </si>
  <si>
    <t>001/3/008</t>
  </si>
  <si>
    <t>Missions &amp; Outreach</t>
  </si>
  <si>
    <t>001/3/009</t>
  </si>
  <si>
    <t>GPM Remittances</t>
  </si>
  <si>
    <t>001/3/010</t>
  </si>
  <si>
    <t>Honorarium &amp; Gifts</t>
  </si>
  <si>
    <t>001/3/011</t>
  </si>
  <si>
    <t>Benovelent</t>
  </si>
  <si>
    <t>001/3/012</t>
  </si>
  <si>
    <t>Finance Costs</t>
  </si>
  <si>
    <t>Bank Charges</t>
  </si>
  <si>
    <t>001/4/001</t>
  </si>
  <si>
    <t>Mpesa Charges</t>
  </si>
  <si>
    <t>001/4/002</t>
  </si>
  <si>
    <t>Deficit/Excess</t>
  </si>
  <si>
    <t>CODES</t>
  </si>
  <si>
    <t>Incomes</t>
  </si>
  <si>
    <t>Ministry &amp; Missions</t>
  </si>
  <si>
    <t>NOTES</t>
  </si>
  <si>
    <t>K.KIDS - Trainings, Volunteer Appreciations, Props &amp; Crafts, Stationeries</t>
  </si>
  <si>
    <t>Worship &amp; Services - Deco, Trainings, Wshop, Refreshments</t>
  </si>
  <si>
    <t>Discipleship Programs - Mizizi, Admin Costs, Materials</t>
  </si>
  <si>
    <t>PREPARED BY: FINANCE TEAM</t>
  </si>
  <si>
    <t>23.03.2026</t>
  </si>
  <si>
    <t>Purchase of industrial gloves</t>
  </si>
  <si>
    <t>Honorarium (Rev. Andrew)</t>
  </si>
  <si>
    <t xml:space="preserve">Honorarium </t>
  </si>
  <si>
    <t>Cash collections received up to 22.03.2026, was not banked but rather used for Weekly expenses on 22.03.2027</t>
  </si>
  <si>
    <t xml:space="preserve">Paybill collections haven't been populated </t>
  </si>
  <si>
    <t>Cheque no. 2 was unpaid due to the Bank's failure update instructions for the same</t>
  </si>
  <si>
    <t>finaces</t>
  </si>
  <si>
    <t>membership</t>
  </si>
  <si>
    <t>reaching out to friends</t>
  </si>
  <si>
    <t>monthy</t>
  </si>
  <si>
    <t>maintaining the current members and tryong to concentrate on the people in church - ambience, programmes , different ways of engaging online prayers</t>
  </si>
  <si>
    <t>Website,</t>
  </si>
  <si>
    <t>what do we need</t>
  </si>
  <si>
    <t>kkis</t>
  </si>
  <si>
    <t>finance</t>
  </si>
  <si>
    <t>leaders</t>
  </si>
  <si>
    <t>admin team</t>
  </si>
  <si>
    <t>worship team</t>
  </si>
  <si>
    <t>Sunday allowance</t>
  </si>
  <si>
    <t>Weekly usage</t>
  </si>
  <si>
    <t>Sanitary Bins &amp; detergent</t>
  </si>
  <si>
    <t>March Rent</t>
  </si>
  <si>
    <t>NB – KES 3,500 unpaid</t>
  </si>
  <si>
    <t>Total cash collections</t>
  </si>
  <si>
    <t xml:space="preserve">Add </t>
  </si>
  <si>
    <t>cash from bank -</t>
  </si>
  <si>
    <t>total cash</t>
  </si>
  <si>
    <t>Less Total expenses</t>
  </si>
  <si>
    <t>Balance</t>
  </si>
  <si>
    <t>Other expenses</t>
  </si>
  <si>
    <t>Purchase of Batteries</t>
  </si>
  <si>
    <t>March 2026 Rent</t>
  </si>
  <si>
    <t>Repairs at the guest house</t>
  </si>
  <si>
    <t xml:space="preserve">Timber </t>
  </si>
  <si>
    <t>Fundi</t>
  </si>
  <si>
    <t>Nails</t>
  </si>
  <si>
    <t>(Assuming Kes 2,500 is paid per Sunday)</t>
  </si>
  <si>
    <t>(assuming Kes 5,000 is paid per Sunday to the drummer &amp; Keyboardist @ 2,500)</t>
  </si>
  <si>
    <t>( For the caretaker with a weekly pay of Kes. 4,200)</t>
  </si>
  <si>
    <t>(Assuming honorarium of Kes. 5,000 per week)</t>
  </si>
  <si>
    <t>19.05.2026</t>
  </si>
  <si>
    <t>Bassist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</si>
</sst>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-* #,##0.00_-;\-* #,##0.00_-;_-* \-??_-;_-@_-"/>
    <numFmt numFmtId="166" formatCode="dd\-mmm\-yyyy"/>
    <numFmt numFmtId="167" formatCode="#,##0;\(#,##0\);\-"/>
    <numFmt numFmtId="168" formatCode="_(* #,##0_);_(* \(#,##0\);_(* \-??_);_(@_)"/>
    <numFmt numFmtId="169" formatCode="d\ mmm\ yy"/>
    <numFmt numFmtId="170" formatCode="dd\ mmm\ yy"/>
    <numFmt numFmtId="171" formatCode="_-* #,##0_-;\-* #,##0_-;_-* &quot;-&quot;??_-;_-@_-"/>
  </numFmts>
  <fonts count="56" x14ac:knownFonts="1">
    <font>
      <sz val="11"/>
      <color theme="1"/>
      <name val="Calibri"/>
      <family val="2"/>
      <charset val="1"/>
    </font>
    <font>
      <b/>
      <sz val="18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i/>
      <sz val="9"/>
      <color rgb="FF888888"/>
      <name val="Arial"/>
      <family val="2"/>
      <charset val="1"/>
    </font>
    <font>
      <b/>
      <i/>
      <sz val="10"/>
      <name val="Arial"/>
      <family val="2"/>
      <charset val="1"/>
    </font>
    <font>
      <i/>
      <sz val="9"/>
      <color rgb="FFAAAAAA"/>
      <name val="Arial"/>
      <family val="2"/>
      <charset val="1"/>
    </font>
    <font>
      <b/>
      <sz val="16"/>
      <color rgb="FF00000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24"/>
      <color rgb="FF000000"/>
      <name val="Arial"/>
      <charset val="1"/>
    </font>
    <font>
      <b/>
      <sz val="14"/>
      <color rgb="FF444444"/>
      <name val="Arial"/>
      <charset val="1"/>
    </font>
    <font>
      <b/>
      <sz val="9"/>
      <color rgb="FFFFFFFF"/>
      <name val="Arial"/>
      <charset val="1"/>
    </font>
    <font>
      <b/>
      <sz val="20"/>
      <color rgb="FF1B7A1B"/>
      <name val="Arial"/>
      <charset val="1"/>
    </font>
    <font>
      <b/>
      <sz val="20"/>
      <color rgb="FFB71C1C"/>
      <name val="Arial"/>
      <charset val="1"/>
    </font>
    <font>
      <b/>
      <sz val="20"/>
      <color rgb="FF1A237E"/>
      <name val="Arial"/>
      <charset val="1"/>
    </font>
    <font>
      <b/>
      <sz val="20"/>
      <color rgb="FFE65100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3"/>
      <color rgb="FFCC0000"/>
      <name val="Arial"/>
      <charset val="1"/>
    </font>
    <font>
      <i/>
      <sz val="11"/>
      <color rgb="FF888888"/>
      <name val="Arial"/>
      <charset val="1"/>
    </font>
    <font>
      <i/>
      <sz val="9"/>
      <color rgb="FFAAAAAA"/>
      <name val="Arial"/>
      <charset val="1"/>
    </font>
    <font>
      <b/>
      <sz val="22"/>
      <color rgb="FF000000"/>
      <name val="Arial"/>
      <charset val="1"/>
    </font>
    <font>
      <b/>
      <sz val="13"/>
      <color rgb="FF444444"/>
      <name val="Arial"/>
      <charset val="1"/>
    </font>
    <font>
      <sz val="10"/>
      <color rgb="FF0000FF"/>
      <name val="Arial"/>
      <charset val="1"/>
    </font>
    <font>
      <b/>
      <sz val="11"/>
      <color rgb="FFCC0000"/>
      <name val="Arial"/>
      <charset val="1"/>
    </font>
    <font>
      <b/>
      <sz val="10"/>
      <color rgb="FFCC0000"/>
      <name val="Arial"/>
      <charset val="1"/>
    </font>
    <font>
      <b/>
      <sz val="12"/>
      <color rgb="FFCC0000"/>
      <name val="Arial"/>
      <charset val="1"/>
    </font>
    <font>
      <b/>
      <sz val="11"/>
      <color theme="1"/>
      <name val="Calibri"/>
      <family val="2"/>
      <charset val="1"/>
    </font>
    <font>
      <sz val="11"/>
      <color theme="1"/>
      <name val="Book Antiqua"/>
      <family val="1"/>
      <charset val="1"/>
    </font>
    <font>
      <b/>
      <u/>
      <sz val="14"/>
      <color theme="1"/>
      <name val="Book Antiqua"/>
      <family val="1"/>
      <charset val="1"/>
    </font>
    <font>
      <b/>
      <sz val="12"/>
      <color theme="1"/>
      <name val="Book Antiqua"/>
      <family val="1"/>
      <charset val="1"/>
    </font>
    <font>
      <b/>
      <sz val="11"/>
      <color theme="1"/>
      <name val="Book Antiqua"/>
      <family val="1"/>
      <charset val="1"/>
    </font>
    <font>
      <b/>
      <u/>
      <sz val="11"/>
      <color rgb="FFFF0000"/>
      <name val="Book Antiqua"/>
      <family val="1"/>
      <charset val="1"/>
    </font>
    <font>
      <b/>
      <sz val="11"/>
      <name val="Book Antiqua"/>
      <family val="1"/>
      <charset val="1"/>
    </font>
    <font>
      <sz val="11"/>
      <name val="Book Antiqua"/>
      <family val="1"/>
      <charset val="1"/>
    </font>
    <font>
      <sz val="13"/>
      <color theme="1"/>
      <name val="Book Antiqua"/>
      <family val="1"/>
      <charset val="1"/>
    </font>
    <font>
      <b/>
      <u/>
      <sz val="13"/>
      <color theme="1"/>
      <name val="Book Antiqua"/>
      <family val="1"/>
      <charset val="1"/>
    </font>
    <font>
      <b/>
      <sz val="13"/>
      <color theme="1"/>
      <name val="Book Antiqua"/>
      <family val="1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0"/>
      <color theme="1"/>
      <name val="Calibri"/>
      <scheme val="minor"/>
    </font>
    <font>
      <u/>
      <sz val="11"/>
      <color theme="1"/>
      <name val="Calibri"/>
      <family val="2"/>
      <charset val="1"/>
    </font>
    <font>
      <b/>
      <sz val="11"/>
      <color rgb="FFFF0000"/>
      <name val="Arial"/>
      <family val="2"/>
      <charset val="1"/>
    </font>
    <font>
      <i/>
      <sz val="9"/>
      <color rgb="FF666666"/>
      <name val="Arial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8F9FA"/>
        <bgColor rgb="FFF8F8F8"/>
      </patternFill>
    </fill>
    <fill>
      <patternFill patternType="solid">
        <fgColor rgb="FFFFFFFF"/>
        <bgColor rgb="FFFAFAFA"/>
      </patternFill>
    </fill>
    <fill>
      <patternFill patternType="solid">
        <fgColor rgb="FFE8E8E8"/>
        <bgColor rgb="FFDCE4FF"/>
      </patternFill>
    </fill>
    <fill>
      <patternFill patternType="solid">
        <fgColor rgb="FF1B7A1B"/>
        <bgColor rgb="FF2E7D32"/>
      </patternFill>
    </fill>
    <fill>
      <patternFill patternType="solid">
        <fgColor rgb="FFB71C1C"/>
        <bgColor rgb="FFC73240"/>
      </patternFill>
    </fill>
    <fill>
      <patternFill patternType="solid">
        <fgColor rgb="FF1A237E"/>
        <bgColor rgb="FF16213E"/>
      </patternFill>
    </fill>
    <fill>
      <patternFill patternType="solid">
        <fgColor rgb="FFE65100"/>
        <bgColor rgb="FFE84855"/>
      </patternFill>
    </fill>
    <fill>
      <patternFill patternType="solid">
        <fgColor rgb="FFD4EDDA"/>
        <bgColor rgb="FFE8E8E8"/>
      </patternFill>
    </fill>
    <fill>
      <patternFill patternType="solid">
        <fgColor rgb="FFFFDADA"/>
        <bgColor rgb="FFFFCDD2"/>
      </patternFill>
    </fill>
    <fill>
      <patternFill patternType="solid">
        <fgColor rgb="FFDCE4FF"/>
        <bgColor rgb="FFE8E8E8"/>
      </patternFill>
    </fill>
    <fill>
      <patternFill patternType="solid">
        <fgColor rgb="FFFFE8D6"/>
        <bgColor rgb="FFFFF0F0"/>
      </patternFill>
    </fill>
    <fill>
      <patternFill patternType="solid">
        <fgColor rgb="FF16213E"/>
        <bgColor rgb="FF1A1A2E"/>
      </patternFill>
    </fill>
    <fill>
      <patternFill patternType="solid">
        <fgColor rgb="FFF8F8F8"/>
        <bgColor rgb="FFF8F9FA"/>
      </patternFill>
    </fill>
    <fill>
      <patternFill patternType="solid">
        <fgColor rgb="FF7B1818"/>
        <bgColor rgb="FFB71C1C"/>
      </patternFill>
    </fill>
    <fill>
      <patternFill patternType="solid">
        <fgColor rgb="FFFFF8F8"/>
        <bgColor rgb="FFFAFAFA"/>
      </patternFill>
    </fill>
    <fill>
      <patternFill patternType="solid">
        <fgColor rgb="FFFFCDD2"/>
        <bgColor rgb="FFFFDADA"/>
      </patternFill>
    </fill>
    <fill>
      <patternFill patternType="solid">
        <fgColor rgb="FFFAFAFA"/>
        <bgColor rgb="FFF8F9FA"/>
      </patternFill>
    </fill>
    <fill>
      <patternFill patternType="solid">
        <fgColor theme="0" tint="-0.499984740745262"/>
        <bgColor rgb="FF88888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DBDBD"/>
      </left>
      <right style="thin">
        <color rgb="FFBDBDBD"/>
      </right>
      <top style="medium">
        <color auto="1"/>
      </top>
      <bottom/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4">
    <xf numFmtId="0" fontId="0" fillId="0" borderId="0"/>
    <xf numFmtId="165" fontId="49" fillId="0" borderId="0"/>
    <xf numFmtId="0" fontId="49" fillId="0" borderId="0"/>
    <xf numFmtId="164" fontId="49" fillId="0" borderId="0" applyFont="0" applyFill="0" applyBorder="0" applyAlignment="0" applyProtection="0"/>
  </cellStyleXfs>
  <cellXfs count="23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right" vertical="center"/>
    </xf>
    <xf numFmtId="167" fontId="3" fillId="0" borderId="3" xfId="0" applyNumberFormat="1" applyFont="1" applyBorder="1" applyAlignment="1">
      <alignment horizontal="right" vertical="center"/>
    </xf>
    <xf numFmtId="167" fontId="5" fillId="0" borderId="3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3" xfId="0" applyFont="1" applyBorder="1"/>
    <xf numFmtId="0" fontId="10" fillId="0" borderId="1" xfId="0" applyFont="1" applyBorder="1" applyAlignment="1">
      <alignment horizontal="left" vertical="center"/>
    </xf>
    <xf numFmtId="0" fontId="11" fillId="0" borderId="3" xfId="0" applyFont="1" applyBorder="1"/>
    <xf numFmtId="167" fontId="4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167" fontId="8" fillId="0" borderId="0" xfId="0" applyNumberFormat="1" applyFont="1"/>
    <xf numFmtId="0" fontId="14" fillId="2" borderId="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67" fontId="16" fillId="3" borderId="4" xfId="0" applyNumberFormat="1" applyFont="1" applyFill="1" applyBorder="1" applyAlignment="1">
      <alignment horizontal="right" vertical="center"/>
    </xf>
    <xf numFmtId="0" fontId="15" fillId="4" borderId="4" xfId="0" applyFont="1" applyFill="1" applyBorder="1" applyAlignment="1">
      <alignment horizontal="center" vertical="center"/>
    </xf>
    <xf numFmtId="167" fontId="16" fillId="4" borderId="4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right" vertical="center"/>
    </xf>
    <xf numFmtId="0" fontId="19" fillId="14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center"/>
    </xf>
    <xf numFmtId="167" fontId="16" fillId="15" borderId="4" xfId="0" applyNumberFormat="1" applyFont="1" applyFill="1" applyBorder="1" applyAlignment="1">
      <alignment horizontal="right" vertical="center"/>
    </xf>
    <xf numFmtId="167" fontId="15" fillId="15" borderId="4" xfId="0" applyNumberFormat="1" applyFont="1" applyFill="1" applyBorder="1" applyAlignment="1">
      <alignment horizontal="right" vertical="center"/>
    </xf>
    <xf numFmtId="0" fontId="15" fillId="1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167" fontId="15" fillId="4" borderId="4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167" fontId="25" fillId="4" borderId="1" xfId="0" applyNumberFormat="1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left" vertical="center"/>
    </xf>
    <xf numFmtId="0" fontId="26" fillId="4" borderId="4" xfId="0" applyFont="1" applyFill="1" applyBorder="1" applyAlignment="1">
      <alignment horizontal="left" vertical="center"/>
    </xf>
    <xf numFmtId="0" fontId="15" fillId="17" borderId="1" xfId="0" applyFont="1" applyFill="1" applyBorder="1" applyAlignment="1">
      <alignment horizontal="left" vertical="center"/>
    </xf>
    <xf numFmtId="0" fontId="16" fillId="17" borderId="4" xfId="0" applyFont="1" applyFill="1" applyBorder="1" applyAlignment="1">
      <alignment horizontal="center" vertical="center"/>
    </xf>
    <xf numFmtId="167" fontId="16" fillId="17" borderId="4" xfId="0" applyNumberFormat="1" applyFont="1" applyFill="1" applyBorder="1" applyAlignment="1">
      <alignment horizontal="right" vertical="center"/>
    </xf>
    <xf numFmtId="167" fontId="25" fillId="17" borderId="1" xfId="0" applyNumberFormat="1" applyFont="1" applyFill="1" applyBorder="1" applyAlignment="1">
      <alignment horizontal="right" vertical="center"/>
    </xf>
    <xf numFmtId="0" fontId="16" fillId="17" borderId="4" xfId="0" applyFont="1" applyFill="1" applyBorder="1" applyAlignment="1">
      <alignment horizontal="left" vertical="center"/>
    </xf>
    <xf numFmtId="0" fontId="15" fillId="17" borderId="1" xfId="0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left" vertical="center"/>
    </xf>
    <xf numFmtId="167" fontId="28" fillId="18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14" fillId="2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left" vertical="center"/>
    </xf>
    <xf numFmtId="0" fontId="16" fillId="19" borderId="4" xfId="0" applyFont="1" applyFill="1" applyBorder="1" applyAlignment="1">
      <alignment horizontal="center" vertical="center"/>
    </xf>
    <xf numFmtId="167" fontId="33" fillId="19" borderId="4" xfId="0" applyNumberFormat="1" applyFont="1" applyFill="1" applyBorder="1" applyAlignment="1">
      <alignment horizontal="right" vertical="center"/>
    </xf>
    <xf numFmtId="167" fontId="34" fillId="19" borderId="1" xfId="0" applyNumberFormat="1" applyFont="1" applyFill="1" applyBorder="1" applyAlignment="1">
      <alignment horizontal="right" vertical="center"/>
    </xf>
    <xf numFmtId="0" fontId="35" fillId="19" borderId="1" xfId="0" applyFont="1" applyFill="1" applyBorder="1" applyAlignment="1">
      <alignment horizontal="center" vertical="center"/>
    </xf>
    <xf numFmtId="0" fontId="16" fillId="19" borderId="4" xfId="0" applyFont="1" applyFill="1" applyBorder="1" applyAlignment="1">
      <alignment horizontal="left" vertical="center"/>
    </xf>
    <xf numFmtId="0" fontId="26" fillId="19" borderId="4" xfId="0" applyFont="1" applyFill="1" applyBorder="1" applyAlignment="1">
      <alignment horizontal="left" vertical="center"/>
    </xf>
    <xf numFmtId="167" fontId="33" fillId="4" borderId="4" xfId="0" applyNumberFormat="1" applyFont="1" applyFill="1" applyBorder="1" applyAlignment="1">
      <alignment horizontal="right" vertical="center"/>
    </xf>
    <xf numFmtId="167" fontId="34" fillId="4" borderId="1" xfId="0" applyNumberFormat="1" applyFont="1" applyFill="1" applyBorder="1" applyAlignment="1">
      <alignment horizontal="right" vertical="center"/>
    </xf>
    <xf numFmtId="0" fontId="35" fillId="4" borderId="1" xfId="0" applyFont="1" applyFill="1" applyBorder="1" applyAlignment="1">
      <alignment horizontal="center" vertical="center"/>
    </xf>
    <xf numFmtId="167" fontId="24" fillId="2" borderId="1" xfId="0" applyNumberFormat="1" applyFont="1" applyFill="1" applyBorder="1" applyAlignment="1">
      <alignment horizontal="right" vertical="center"/>
    </xf>
    <xf numFmtId="167" fontId="36" fillId="18" borderId="1" xfId="0" applyNumberFormat="1" applyFont="1" applyFill="1" applyBorder="1" applyAlignment="1">
      <alignment horizontal="right" vertical="center"/>
    </xf>
    <xf numFmtId="0" fontId="0" fillId="0" borderId="5" xfId="0" applyBorder="1"/>
    <xf numFmtId="167" fontId="0" fillId="0" borderId="0" xfId="0" applyNumberFormat="1"/>
    <xf numFmtId="168" fontId="5" fillId="0" borderId="0" xfId="0" applyNumberFormat="1" applyFont="1"/>
    <xf numFmtId="0" fontId="0" fillId="0" borderId="6" xfId="0" applyBorder="1"/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37" fillId="0" borderId="0" xfId="0" applyFont="1"/>
    <xf numFmtId="168" fontId="3" fillId="0" borderId="0" xfId="0" applyNumberFormat="1" applyFont="1"/>
    <xf numFmtId="168" fontId="0" fillId="0" borderId="0" xfId="0" applyNumberFormat="1"/>
    <xf numFmtId="0" fontId="3" fillId="0" borderId="1" xfId="0" applyFont="1" applyBorder="1"/>
    <xf numFmtId="0" fontId="5" fillId="0" borderId="0" xfId="0" applyFont="1"/>
    <xf numFmtId="0" fontId="5" fillId="0" borderId="7" xfId="0" applyFont="1" applyBorder="1"/>
    <xf numFmtId="167" fontId="6" fillId="0" borderId="7" xfId="0" applyNumberFormat="1" applyFont="1" applyBorder="1" applyAlignment="1">
      <alignment horizontal="right" vertical="center"/>
    </xf>
    <xf numFmtId="0" fontId="9" fillId="0" borderId="0" xfId="0" applyFont="1"/>
    <xf numFmtId="0" fontId="38" fillId="0" borderId="0" xfId="0" applyFont="1"/>
    <xf numFmtId="0" fontId="40" fillId="0" borderId="0" xfId="0" applyFont="1"/>
    <xf numFmtId="0" fontId="40" fillId="0" borderId="0" xfId="0" applyFont="1" applyAlignment="1">
      <alignment horizontal="center"/>
    </xf>
    <xf numFmtId="0" fontId="41" fillId="0" borderId="0" xfId="0" applyFont="1"/>
    <xf numFmtId="0" fontId="41" fillId="0" borderId="7" xfId="0" applyFont="1" applyBorder="1"/>
    <xf numFmtId="0" fontId="41" fillId="0" borderId="8" xfId="0" applyFont="1" applyBorder="1"/>
    <xf numFmtId="0" fontId="41" fillId="0" borderId="1" xfId="0" applyFont="1" applyBorder="1"/>
    <xf numFmtId="0" fontId="42" fillId="0" borderId="8" xfId="0" applyFont="1" applyBorder="1" applyAlignment="1">
      <alignment horizontal="left"/>
    </xf>
    <xf numFmtId="0" fontId="42" fillId="0" borderId="9" xfId="0" applyFont="1" applyBorder="1" applyAlignment="1">
      <alignment horizontal="left"/>
    </xf>
    <xf numFmtId="0" fontId="38" fillId="0" borderId="9" xfId="0" applyFont="1" applyBorder="1"/>
    <xf numFmtId="0" fontId="38" fillId="0" borderId="10" xfId="0" applyFont="1" applyBorder="1"/>
    <xf numFmtId="0" fontId="41" fillId="0" borderId="11" xfId="0" applyFont="1" applyBorder="1"/>
    <xf numFmtId="0" fontId="38" fillId="0" borderId="12" xfId="0" applyFont="1" applyBorder="1"/>
    <xf numFmtId="0" fontId="38" fillId="0" borderId="13" xfId="0" applyFont="1" applyBorder="1"/>
    <xf numFmtId="165" fontId="38" fillId="0" borderId="14" xfId="0" applyNumberFormat="1" applyFont="1" applyBorder="1"/>
    <xf numFmtId="165" fontId="38" fillId="0" borderId="12" xfId="0" applyNumberFormat="1" applyFont="1" applyBorder="1"/>
    <xf numFmtId="165" fontId="41" fillId="0" borderId="15" xfId="0" applyNumberFormat="1" applyFont="1" applyBorder="1"/>
    <xf numFmtId="0" fontId="38" fillId="0" borderId="16" xfId="0" applyFont="1" applyBorder="1"/>
    <xf numFmtId="0" fontId="38" fillId="0" borderId="17" xfId="0" applyFont="1" applyBorder="1"/>
    <xf numFmtId="165" fontId="38" fillId="0" borderId="18" xfId="0" applyNumberFormat="1" applyFont="1" applyBorder="1"/>
    <xf numFmtId="165" fontId="38" fillId="0" borderId="16" xfId="0" applyNumberFormat="1" applyFont="1" applyBorder="1"/>
    <xf numFmtId="165" fontId="41" fillId="0" borderId="19" xfId="0" applyNumberFormat="1" applyFont="1" applyBorder="1"/>
    <xf numFmtId="0" fontId="38" fillId="0" borderId="20" xfId="0" applyFont="1" applyBorder="1"/>
    <xf numFmtId="165" fontId="38" fillId="0" borderId="21" xfId="0" applyNumberFormat="1" applyFont="1" applyBorder="1"/>
    <xf numFmtId="165" fontId="38" fillId="0" borderId="20" xfId="0" applyNumberFormat="1" applyFont="1" applyBorder="1"/>
    <xf numFmtId="165" fontId="38" fillId="0" borderId="22" xfId="0" applyNumberFormat="1" applyFont="1" applyBorder="1"/>
    <xf numFmtId="165" fontId="38" fillId="0" borderId="23" xfId="0" applyNumberFormat="1" applyFont="1" applyBorder="1"/>
    <xf numFmtId="165" fontId="38" fillId="0" borderId="24" xfId="0" applyNumberFormat="1" applyFont="1" applyBorder="1"/>
    <xf numFmtId="0" fontId="38" fillId="0" borderId="25" xfId="0" applyFont="1" applyBorder="1"/>
    <xf numFmtId="0" fontId="38" fillId="0" borderId="26" xfId="0" applyFont="1" applyBorder="1"/>
    <xf numFmtId="165" fontId="38" fillId="0" borderId="27" xfId="0" applyNumberFormat="1" applyFont="1" applyBorder="1"/>
    <xf numFmtId="165" fontId="38" fillId="0" borderId="25" xfId="0" applyNumberFormat="1" applyFont="1" applyBorder="1"/>
    <xf numFmtId="0" fontId="38" fillId="0" borderId="28" xfId="0" applyFont="1" applyBorder="1"/>
    <xf numFmtId="165" fontId="38" fillId="0" borderId="0" xfId="0" applyNumberFormat="1" applyFont="1"/>
    <xf numFmtId="0" fontId="41" fillId="0" borderId="29" xfId="0" applyFont="1" applyBorder="1"/>
    <xf numFmtId="0" fontId="41" fillId="0" borderId="30" xfId="0" applyFont="1" applyBorder="1"/>
    <xf numFmtId="165" fontId="41" fillId="0" borderId="31" xfId="0" applyNumberFormat="1" applyFont="1" applyBorder="1"/>
    <xf numFmtId="165" fontId="41" fillId="0" borderId="32" xfId="0" applyNumberFormat="1" applyFont="1" applyBorder="1"/>
    <xf numFmtId="165" fontId="41" fillId="0" borderId="29" xfId="0" applyNumberFormat="1" applyFont="1" applyBorder="1"/>
    <xf numFmtId="165" fontId="41" fillId="0" borderId="1" xfId="0" applyNumberFormat="1" applyFont="1" applyBorder="1"/>
    <xf numFmtId="0" fontId="38" fillId="20" borderId="28" xfId="0" applyFont="1" applyFill="1" applyBorder="1"/>
    <xf numFmtId="0" fontId="38" fillId="20" borderId="0" xfId="0" applyFont="1" applyFill="1"/>
    <xf numFmtId="165" fontId="38" fillId="20" borderId="0" xfId="0" applyNumberFormat="1" applyFont="1" applyFill="1"/>
    <xf numFmtId="0" fontId="41" fillId="20" borderId="0" xfId="0" applyFont="1" applyFill="1"/>
    <xf numFmtId="0" fontId="42" fillId="0" borderId="8" xfId="0" applyFont="1" applyBorder="1"/>
    <xf numFmtId="0" fontId="42" fillId="0" borderId="9" xfId="0" applyFont="1" applyBorder="1"/>
    <xf numFmtId="165" fontId="41" fillId="0" borderId="9" xfId="0" applyNumberFormat="1" applyFont="1" applyBorder="1"/>
    <xf numFmtId="0" fontId="41" fillId="0" borderId="10" xfId="0" applyFont="1" applyBorder="1"/>
    <xf numFmtId="0" fontId="42" fillId="0" borderId="33" xfId="0" applyFont="1" applyBorder="1"/>
    <xf numFmtId="0" fontId="42" fillId="0" borderId="34" xfId="0" applyFont="1" applyBorder="1"/>
    <xf numFmtId="165" fontId="41" fillId="0" borderId="34" xfId="0" applyNumberFormat="1" applyFont="1" applyBorder="1"/>
    <xf numFmtId="0" fontId="41" fillId="0" borderId="35" xfId="0" applyFont="1" applyBorder="1"/>
    <xf numFmtId="165" fontId="38" fillId="0" borderId="13" xfId="0" applyNumberFormat="1" applyFont="1" applyBorder="1"/>
    <xf numFmtId="165" fontId="41" fillId="0" borderId="36" xfId="0" applyNumberFormat="1" applyFont="1" applyBorder="1"/>
    <xf numFmtId="165" fontId="38" fillId="0" borderId="17" xfId="0" applyNumberFormat="1" applyFont="1" applyBorder="1"/>
    <xf numFmtId="165" fontId="41" fillId="0" borderId="37" xfId="0" applyNumberFormat="1" applyFont="1" applyBorder="1"/>
    <xf numFmtId="165" fontId="38" fillId="0" borderId="38" xfId="0" applyNumberFormat="1" applyFont="1" applyBorder="1"/>
    <xf numFmtId="165" fontId="38" fillId="0" borderId="39" xfId="0" applyNumberFormat="1" applyFont="1" applyBorder="1"/>
    <xf numFmtId="165" fontId="38" fillId="0" borderId="40" xfId="0" applyNumberFormat="1" applyFont="1" applyBorder="1"/>
    <xf numFmtId="0" fontId="38" fillId="0" borderId="20" xfId="0" applyFont="1" applyBorder="1" applyAlignment="1">
      <alignment wrapText="1"/>
    </xf>
    <xf numFmtId="165" fontId="38" fillId="0" borderId="41" xfId="0" applyNumberFormat="1" applyFont="1" applyBorder="1"/>
    <xf numFmtId="165" fontId="41" fillId="0" borderId="42" xfId="0" applyNumberFormat="1" applyFont="1" applyBorder="1"/>
    <xf numFmtId="0" fontId="41" fillId="0" borderId="33" xfId="0" applyFont="1" applyBorder="1"/>
    <xf numFmtId="0" fontId="41" fillId="0" borderId="34" xfId="0" applyFont="1" applyBorder="1"/>
    <xf numFmtId="165" fontId="41" fillId="0" borderId="43" xfId="0" applyNumberFormat="1" applyFont="1" applyBorder="1"/>
    <xf numFmtId="165" fontId="41" fillId="0" borderId="7" xfId="0" applyNumberFormat="1" applyFont="1" applyBorder="1"/>
    <xf numFmtId="0" fontId="41" fillId="0" borderId="9" xfId="0" applyFont="1" applyBorder="1"/>
    <xf numFmtId="165" fontId="41" fillId="0" borderId="44" xfId="0" applyNumberFormat="1" applyFont="1" applyBorder="1"/>
    <xf numFmtId="165" fontId="41" fillId="0" borderId="45" xfId="0" applyNumberFormat="1" applyFont="1" applyBorder="1"/>
    <xf numFmtId="0" fontId="43" fillId="0" borderId="0" xfId="0" applyFont="1"/>
    <xf numFmtId="0" fontId="44" fillId="0" borderId="46" xfId="0" applyFont="1" applyBorder="1"/>
    <xf numFmtId="0" fontId="38" fillId="0" borderId="47" xfId="0" applyFont="1" applyBorder="1"/>
    <xf numFmtId="165" fontId="44" fillId="0" borderId="14" xfId="0" applyNumberFormat="1" applyFont="1" applyBorder="1"/>
    <xf numFmtId="165" fontId="44" fillId="0" borderId="12" xfId="0" applyNumberFormat="1" applyFont="1" applyBorder="1"/>
    <xf numFmtId="165" fontId="44" fillId="0" borderId="47" xfId="0" applyNumberFormat="1" applyFont="1" applyBorder="1"/>
    <xf numFmtId="165" fontId="43" fillId="0" borderId="36" xfId="0" applyNumberFormat="1" applyFont="1" applyBorder="1"/>
    <xf numFmtId="0" fontId="44" fillId="0" borderId="17" xfId="0" applyFont="1" applyBorder="1"/>
    <xf numFmtId="0" fontId="38" fillId="0" borderId="48" xfId="0" applyFont="1" applyBorder="1"/>
    <xf numFmtId="165" fontId="44" fillId="0" borderId="18" xfId="0" applyNumberFormat="1" applyFont="1" applyBorder="1"/>
    <xf numFmtId="165" fontId="44" fillId="0" borderId="16" xfId="0" applyNumberFormat="1" applyFont="1" applyBorder="1"/>
    <xf numFmtId="165" fontId="44" fillId="0" borderId="48" xfId="0" applyNumberFormat="1" applyFont="1" applyBorder="1"/>
    <xf numFmtId="165" fontId="43" fillId="0" borderId="37" xfId="0" applyNumberFormat="1" applyFont="1" applyBorder="1"/>
    <xf numFmtId="0" fontId="44" fillId="0" borderId="0" xfId="0" applyFont="1"/>
    <xf numFmtId="165" fontId="38" fillId="0" borderId="48" xfId="0" applyNumberFormat="1" applyFont="1" applyBorder="1"/>
    <xf numFmtId="165" fontId="38" fillId="0" borderId="49" xfId="0" applyNumberFormat="1" applyFont="1" applyBorder="1"/>
    <xf numFmtId="165" fontId="43" fillId="0" borderId="42" xfId="0" applyNumberFormat="1" applyFont="1" applyBorder="1"/>
    <xf numFmtId="165" fontId="38" fillId="0" borderId="44" xfId="0" applyNumberFormat="1" applyFont="1" applyBorder="1"/>
    <xf numFmtId="165" fontId="41" fillId="0" borderId="8" xfId="0" applyNumberFormat="1" applyFont="1" applyBorder="1"/>
    <xf numFmtId="0" fontId="38" fillId="20" borderId="50" xfId="0" applyFont="1" applyFill="1" applyBorder="1"/>
    <xf numFmtId="0" fontId="38" fillId="20" borderId="44" xfId="0" applyFont="1" applyFill="1" applyBorder="1"/>
    <xf numFmtId="165" fontId="41" fillId="20" borderId="44" xfId="0" applyNumberFormat="1" applyFont="1" applyFill="1" applyBorder="1"/>
    <xf numFmtId="165" fontId="38" fillId="20" borderId="44" xfId="0" applyNumberFormat="1" applyFont="1" applyFill="1" applyBorder="1"/>
    <xf numFmtId="165" fontId="41" fillId="20" borderId="51" xfId="0" applyNumberFormat="1" applyFont="1" applyFill="1" applyBorder="1"/>
    <xf numFmtId="0" fontId="41" fillId="0" borderId="32" xfId="0" applyFont="1" applyBorder="1"/>
    <xf numFmtId="165" fontId="41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11" fillId="0" borderId="3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7" fontId="16" fillId="4" borderId="4" xfId="0" applyNumberFormat="1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right" vertical="center"/>
    </xf>
    <xf numFmtId="169" fontId="50" fillId="0" borderId="0" xfId="0" applyNumberFormat="1" applyFont="1"/>
    <xf numFmtId="170" fontId="50" fillId="0" borderId="0" xfId="0" applyNumberFormat="1" applyFont="1"/>
    <xf numFmtId="164" fontId="0" fillId="0" borderId="0" xfId="3" applyFont="1"/>
    <xf numFmtId="0" fontId="51" fillId="0" borderId="0" xfId="0" applyFont="1"/>
    <xf numFmtId="167" fontId="4" fillId="21" borderId="1" xfId="0" applyNumberFormat="1" applyFont="1" applyFill="1" applyBorder="1" applyAlignment="1">
      <alignment horizontal="right" vertical="center"/>
    </xf>
    <xf numFmtId="167" fontId="52" fillId="0" borderId="1" xfId="0" applyNumberFormat="1" applyFont="1" applyBorder="1" applyAlignment="1">
      <alignment horizontal="right" vertical="center"/>
    </xf>
    <xf numFmtId="0" fontId="53" fillId="4" borderId="4" xfId="0" applyFont="1" applyFill="1" applyBorder="1" applyAlignment="1">
      <alignment horizontal="left" vertical="center"/>
    </xf>
    <xf numFmtId="0" fontId="54" fillId="0" borderId="0" xfId="0" applyFont="1"/>
    <xf numFmtId="164" fontId="55" fillId="0" borderId="0" xfId="3" applyFont="1"/>
    <xf numFmtId="0" fontId="3" fillId="22" borderId="1" xfId="0" applyFont="1" applyFill="1" applyBorder="1" applyAlignment="1">
      <alignment horizontal="left" vertical="center"/>
    </xf>
    <xf numFmtId="167" fontId="2" fillId="22" borderId="1" xfId="0" applyNumberFormat="1" applyFont="1" applyFill="1" applyBorder="1" applyAlignment="1">
      <alignment horizontal="right" vertical="center"/>
    </xf>
    <xf numFmtId="164" fontId="0" fillId="22" borderId="0" xfId="3" applyFont="1" applyFill="1"/>
    <xf numFmtId="171" fontId="0" fillId="0" borderId="0" xfId="3" applyNumberFormat="1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2" fillId="22" borderId="1" xfId="0" applyFont="1" applyFill="1" applyBorder="1" applyAlignment="1">
      <alignment horizontal="right" vertical="center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7" fontId="20" fillId="10" borderId="2" xfId="0" applyNumberFormat="1" applyFont="1" applyFill="1" applyBorder="1" applyAlignment="1">
      <alignment horizontal="center" vertical="center"/>
    </xf>
    <xf numFmtId="167" fontId="21" fillId="11" borderId="2" xfId="0" applyNumberFormat="1" applyFont="1" applyFill="1" applyBorder="1" applyAlignment="1">
      <alignment horizontal="center" vertical="center"/>
    </xf>
    <xf numFmtId="167" fontId="22" fillId="12" borderId="2" xfId="0" applyNumberFormat="1" applyFont="1" applyFill="1" applyBorder="1" applyAlignment="1">
      <alignment horizontal="center" vertical="center"/>
    </xf>
    <xf numFmtId="167" fontId="23" fillId="13" borderId="2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0" xfId="0"/>
    <xf numFmtId="166" fontId="5" fillId="0" borderId="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46" fillId="0" borderId="0" xfId="0" applyFont="1" applyAlignment="1">
      <alignment horizontal="center"/>
    </xf>
  </cellXfs>
  <cellStyles count="4">
    <cellStyle name="Comma" xfId="3" builtinId="3"/>
    <cellStyle name="Comma 2" xfId="1" xr:uid="{00000000-0005-0000-0000-000006000000}"/>
    <cellStyle name="Normal" xfId="0" builtinId="0"/>
    <cellStyle name="Normal 2" xfId="2" xr:uid="{00000000-0005-0000-0000-000007000000}"/>
  </cellStyles>
  <dxfs count="16">
    <dxf>
      <font>
        <b/>
        <sz val="10"/>
        <color rgb="FF1B7A1B"/>
        <name val="Arial"/>
        <charset val="1"/>
      </font>
      <fill>
        <patternFill>
          <bgColor rgb="FFF0FFF0"/>
        </patternFill>
      </fill>
    </dxf>
    <dxf>
      <font>
        <b/>
        <sz val="10"/>
        <color rgb="FFCC0000"/>
        <name val="Arial"/>
        <charset val="1"/>
      </font>
      <fill>
        <patternFill>
          <bgColor rgb="FFFFF0F0"/>
        </patternFill>
      </fill>
    </dxf>
    <dxf>
      <font>
        <b/>
        <sz val="11"/>
        <color rgb="FF1B7A1B"/>
        <name val="Arial"/>
        <charset val="1"/>
      </font>
      <fill>
        <patternFill>
          <bgColor rgb="FFF0FFF0"/>
        </patternFill>
      </fill>
    </dxf>
    <dxf>
      <font>
        <b/>
        <sz val="11"/>
        <color rgb="FFCC0000"/>
        <name val="Arial"/>
        <charset val="1"/>
      </font>
      <fill>
        <patternFill>
          <bgColor rgb="FFFFF0F0"/>
        </patternFill>
      </fill>
    </dxf>
    <dxf>
      <font>
        <b/>
        <sz val="10"/>
        <color rgb="FFCC0000"/>
        <name val="Arial"/>
        <charset val="1"/>
      </font>
      <fill>
        <patternFill>
          <bgColor rgb="FFFFDADA"/>
        </patternFill>
      </fill>
    </dxf>
    <dxf>
      <font>
        <b/>
        <sz val="10"/>
        <color rgb="FF1B7A1B"/>
        <name val="Arial"/>
        <charset val="1"/>
      </font>
      <fill>
        <patternFill>
          <bgColor rgb="FFD4EDDA"/>
        </patternFill>
      </fill>
    </dxf>
    <dxf>
      <font>
        <b/>
        <sz val="10"/>
        <color rgb="FF1B7A1B"/>
        <name val="Arial"/>
        <charset val="1"/>
      </font>
      <fill>
        <patternFill>
          <bgColor rgb="FFF0FFF0"/>
        </patternFill>
      </fill>
    </dxf>
    <dxf>
      <font>
        <b/>
        <sz val="10"/>
        <color rgb="FFCC0000"/>
        <name val="Arial"/>
        <charset val="1"/>
      </font>
      <fill>
        <patternFill>
          <bgColor rgb="FFFFF0F0"/>
        </patternFill>
      </fill>
    </dxf>
    <dxf>
      <font>
        <b/>
        <sz val="11"/>
        <color rgb="FF1B7A1B"/>
        <name val="Arial"/>
        <charset val="1"/>
      </font>
      <fill>
        <patternFill>
          <bgColor rgb="FFF0FFF0"/>
        </patternFill>
      </fill>
    </dxf>
    <dxf>
      <font>
        <b/>
        <sz val="11"/>
        <color rgb="FFCC0000"/>
        <name val="Arial"/>
        <charset val="1"/>
      </font>
      <fill>
        <patternFill>
          <bgColor rgb="FFFFF0F0"/>
        </patternFill>
      </fill>
    </dxf>
    <dxf>
      <font>
        <b/>
        <sz val="10"/>
        <color rgb="FFCC0000"/>
        <name val="Arial"/>
        <charset val="1"/>
      </font>
      <fill>
        <patternFill>
          <bgColor rgb="FFFFDADA"/>
        </patternFill>
      </fill>
    </dxf>
    <dxf>
      <font>
        <b/>
        <sz val="10"/>
        <color rgb="FF1B7A1B"/>
        <name val="Arial"/>
        <charset val="1"/>
      </font>
      <fill>
        <patternFill>
          <bgColor rgb="FFD4EDDA"/>
        </patternFill>
      </fill>
    </dxf>
    <dxf>
      <font>
        <b/>
        <sz val="10"/>
        <color rgb="FF1B7A1B"/>
        <name val="Arial"/>
        <charset val="1"/>
      </font>
      <fill>
        <patternFill>
          <bgColor rgb="FFF0FFF0"/>
        </patternFill>
      </fill>
    </dxf>
    <dxf>
      <font>
        <b/>
        <sz val="10"/>
        <color rgb="FFCC0000"/>
        <name val="Arial"/>
        <charset val="1"/>
      </font>
      <fill>
        <patternFill>
          <bgColor rgb="FFFFF0F0"/>
        </patternFill>
      </fill>
    </dxf>
    <dxf>
      <font>
        <b/>
        <sz val="11"/>
        <color rgb="FF1B7A1B"/>
        <name val="Arial"/>
        <charset val="1"/>
      </font>
      <fill>
        <patternFill>
          <bgColor rgb="FFF0FFF0"/>
        </patternFill>
      </fill>
    </dxf>
    <dxf>
      <font>
        <b/>
        <sz val="11"/>
        <color rgb="FFCC0000"/>
        <name val="Arial"/>
        <charset val="1"/>
      </font>
      <fill>
        <patternFill>
          <bgColor rgb="FFFFF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0F0"/>
      <rgbColor rgb="FFFF00FF"/>
      <rgbColor rgb="FFFAFAFA"/>
      <rgbColor rgb="FF7B1818"/>
      <rgbColor rgb="FF1B7A1B"/>
      <rgbColor rgb="FF000080"/>
      <rgbColor rgb="FF808000"/>
      <rgbColor rgb="FF800080"/>
      <rgbColor rgb="FF2E7D32"/>
      <rgbColor rgb="FFBDBDBD"/>
      <rgbColor rgb="FF808080"/>
      <rgbColor rgb="FFAAAAAA"/>
      <rgbColor rgb="FFC73240"/>
      <rgbColor rgb="FFF0FFF0"/>
      <rgbColor rgb="FFDCE4FF"/>
      <rgbColor rgb="FF660066"/>
      <rgbColor rgb="FFE84855"/>
      <rgbColor rgb="FF1A6FA8"/>
      <rgbColor rgb="FFCCCCCC"/>
      <rgbColor rgb="FF000080"/>
      <rgbColor rgb="FFFF00FF"/>
      <rgbColor rgb="FFFFF8F8"/>
      <rgbColor rgb="FF00FFFF"/>
      <rgbColor rgb="FF800080"/>
      <rgbColor rgb="FFCC0000"/>
      <rgbColor rgb="FF008080"/>
      <rgbColor rgb="FF0000FF"/>
      <rgbColor rgb="FF00CCFF"/>
      <rgbColor rgb="FFE8E8E8"/>
      <rgbColor rgb="FFD4EDDA"/>
      <rgbColor rgb="FFFFE8D6"/>
      <rgbColor rgb="FFB3B3B3"/>
      <rgbColor rgb="FFFFDADA"/>
      <rgbColor rgb="FFD9D9D9"/>
      <rgbColor rgb="FFFFCDD2"/>
      <rgbColor rgb="FF4F81BD"/>
      <rgbColor rgb="FF52B788"/>
      <rgbColor rgb="FF74C69D"/>
      <rgbColor rgb="FFF8F8F8"/>
      <rgbColor rgb="FFF8F9FA"/>
      <rgbColor rgb="FFE65100"/>
      <rgbColor rgb="FF666666"/>
      <rgbColor rgb="FF888888"/>
      <rgbColor rgb="FF1A237E"/>
      <rgbColor rgb="FF2E86AB"/>
      <rgbColor rgb="FF16213E"/>
      <rgbColor rgb="FF1A1A2E"/>
      <rgbColor rgb="FFB71C1C"/>
      <rgbColor rgb="FFC0504D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Collections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Summary!$B$84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Summary!$A$85:$A$96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Summary!$B$85:$B$96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18770</c:v>
                </c:pt>
                <c:pt idx="3">
                  <c:v>33190.5</c:v>
                </c:pt>
                <c:pt idx="4">
                  <c:v>22781</c:v>
                </c:pt>
                <c:pt idx="5">
                  <c:v>3545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2-4523-BBC1-4A7AC06D4F36}"/>
            </c:ext>
          </c:extLst>
        </c:ser>
        <c:ser>
          <c:idx val="1"/>
          <c:order val="1"/>
          <c:tx>
            <c:strRef>
              <c:f>Summary!$C$84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Summary!$A$85:$A$96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Summary!$C$85:$C$96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66300</c:v>
                </c:pt>
                <c:pt idx="3">
                  <c:v>46300</c:v>
                </c:pt>
                <c:pt idx="4">
                  <c:v>51000</c:v>
                </c:pt>
                <c:pt idx="5">
                  <c:v>9700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2-4523-BBC1-4A7AC06D4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8172"/>
        <c:axId val="57049612"/>
      </c:barChart>
      <c:catAx>
        <c:axId val="4898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049612"/>
        <c:crosses val="autoZero"/>
        <c:auto val="1"/>
        <c:lblAlgn val="ctr"/>
        <c:lblOffset val="100"/>
        <c:noMultiLvlLbl val="0"/>
      </c:catAx>
      <c:valAx>
        <c:axId val="570496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981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Collections vs Actual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1A6FA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Charts!$B$5:$B$16</c:f>
              <c:numCache>
                <c:formatCode>#,##0;\(#,##0\);\-</c:formatCode>
                <c:ptCount val="12"/>
                <c:pt idx="0">
                  <c:v>33190.5</c:v>
                </c:pt>
                <c:pt idx="1">
                  <c:v>22781</c:v>
                </c:pt>
                <c:pt idx="2">
                  <c:v>3545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9-4670-B669-5224D810A300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84855"/>
            </a:solidFill>
            <a:ln w="9360">
              <a:solidFill>
                <a:srgbClr val="C7324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Charts!$C$5:$C$16</c:f>
              <c:numCache>
                <c:formatCode>#,##0;\(#,##0\);\-</c:formatCode>
                <c:ptCount val="12"/>
                <c:pt idx="0">
                  <c:v>46300</c:v>
                </c:pt>
                <c:pt idx="1">
                  <c:v>51000</c:v>
                </c:pt>
                <c:pt idx="2">
                  <c:v>9700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9-4670-B669-5224D810A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18857"/>
        <c:axId val="18953486"/>
      </c:barChart>
      <c:catAx>
        <c:axId val="335188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53486"/>
        <c:crosses val="autoZero"/>
        <c:auto val="1"/>
        <c:lblAlgn val="ctr"/>
        <c:lblOffset val="100"/>
        <c:noMultiLvlLbl val="0"/>
      </c:catAx>
      <c:valAx>
        <c:axId val="189534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18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Actual Collections vs Budgeted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1A6FA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Charts!$B$5:$B$16</c:f>
              <c:numCache>
                <c:formatCode>#,##0;\(#,##0\);\-</c:formatCode>
                <c:ptCount val="12"/>
                <c:pt idx="0">
                  <c:v>33190.5</c:v>
                </c:pt>
                <c:pt idx="1">
                  <c:v>22781</c:v>
                </c:pt>
                <c:pt idx="2">
                  <c:v>3545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8-4D3E-B076-49F717DB9B06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Budget Income</c:v>
                </c:pt>
              </c:strCache>
            </c:strRef>
          </c:tx>
          <c:spPr>
            <a:solidFill>
              <a:srgbClr val="74C69D"/>
            </a:solidFill>
            <a:ln w="9360">
              <a:solidFill>
                <a:srgbClr val="52B78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Charts!$D$5:$D$16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8-4D3E-B076-49F717DB9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68888"/>
        <c:axId val="4043298"/>
      </c:barChart>
      <c:catAx>
        <c:axId val="487688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3298"/>
        <c:crosses val="autoZero"/>
        <c:auto val="1"/>
        <c:lblAlgn val="ctr"/>
        <c:lblOffset val="100"/>
        <c:noMultiLvlLbl val="0"/>
      </c:catAx>
      <c:valAx>
        <c:axId val="40432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688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Net Position (Collections − Expenses)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Charts!$F$4</c:f>
              <c:strCache>
                <c:ptCount val="1"/>
                <c:pt idx="0">
                  <c:v>Net</c:v>
                </c:pt>
              </c:strCache>
            </c:strRef>
          </c:tx>
          <c:spPr>
            <a:ln w="24840">
              <a:solidFill>
                <a:srgbClr val="2E7D32"/>
              </a:solidFill>
              <a:round/>
            </a:ln>
          </c:spPr>
          <c:marker>
            <c:symbol val="circle"/>
            <c:size val="6"/>
            <c:spPr>
              <a:solidFill>
                <a:srgbClr val="2E7D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Charts!$F$5:$F$16</c:f>
              <c:numCache>
                <c:formatCode>#,##0;\(#,##0\);\-</c:formatCode>
                <c:ptCount val="12"/>
                <c:pt idx="0">
                  <c:v>-13109.5</c:v>
                </c:pt>
                <c:pt idx="1">
                  <c:v>-28219</c:v>
                </c:pt>
                <c:pt idx="2">
                  <c:v>-6155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-47530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B2-40D1-9F20-CA470D8EE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325162"/>
        <c:axId val="3631457"/>
      </c:lineChart>
      <c:catAx>
        <c:axId val="70325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1457"/>
        <c:crosses val="autoZero"/>
        <c:auto val="1"/>
        <c:lblAlgn val="ctr"/>
        <c:lblOffset val="100"/>
        <c:noMultiLvlLbl val="0"/>
      </c:catAx>
      <c:valAx>
        <c:axId val="36314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325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Collections vs Expenses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1A6FA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Charts!$B$5:$B$16</c:f>
              <c:numCache>
                <c:formatCode>#,##0;\(#,##0\);\-</c:formatCode>
                <c:ptCount val="12"/>
                <c:pt idx="0">
                  <c:v>33190.5</c:v>
                </c:pt>
                <c:pt idx="1">
                  <c:v>22781</c:v>
                </c:pt>
                <c:pt idx="2">
                  <c:v>3545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3-4774-8830-E4E743093F0D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84855"/>
            </a:solidFill>
            <a:ln w="9360">
              <a:solidFill>
                <a:srgbClr val="C7324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Charts!$C$5:$C$16</c:f>
              <c:numCache>
                <c:formatCode>#,##0;\(#,##0\);\-</c:formatCode>
                <c:ptCount val="12"/>
                <c:pt idx="0">
                  <c:v>46300</c:v>
                </c:pt>
                <c:pt idx="1">
                  <c:v>51000</c:v>
                </c:pt>
                <c:pt idx="2">
                  <c:v>9700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3-4774-8830-E4E743093F0D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Budget Income</c:v>
                </c:pt>
              </c:strCache>
            </c:strRef>
          </c:tx>
          <c:spPr>
            <a:solidFill>
              <a:srgbClr val="74C69D"/>
            </a:solidFill>
            <a:ln w="9360">
              <a:solidFill>
                <a:srgbClr val="52B78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Charts!$D$5:$D$16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3-4774-8830-E4E74309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86117"/>
        <c:axId val="3468229"/>
      </c:barChart>
      <c:catAx>
        <c:axId val="214861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8229"/>
        <c:crosses val="autoZero"/>
        <c:auto val="1"/>
        <c:lblAlgn val="ctr"/>
        <c:lblOffset val="100"/>
        <c:noMultiLvlLbl val="0"/>
      </c:catAx>
      <c:valAx>
        <c:axId val="34682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861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Collections vs Expenses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1A6FA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Charts!$B$5:$B$16</c:f>
              <c:numCache>
                <c:formatCode>#,##0;\(#,##0\);\-</c:formatCode>
                <c:ptCount val="12"/>
                <c:pt idx="0">
                  <c:v>33190.5</c:v>
                </c:pt>
                <c:pt idx="1">
                  <c:v>22781</c:v>
                </c:pt>
                <c:pt idx="2">
                  <c:v>3545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E-480E-96F5-CE39EED97A4A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84855"/>
            </a:solidFill>
            <a:ln w="9360">
              <a:solidFill>
                <a:srgbClr val="C7324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Charts!$C$5:$C$16</c:f>
              <c:numCache>
                <c:formatCode>#,##0;\(#,##0\);\-</c:formatCode>
                <c:ptCount val="12"/>
                <c:pt idx="0">
                  <c:v>46300</c:v>
                </c:pt>
                <c:pt idx="1">
                  <c:v>51000</c:v>
                </c:pt>
                <c:pt idx="2">
                  <c:v>9700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E-480E-96F5-CE39EED97A4A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Budget Income</c:v>
                </c:pt>
              </c:strCache>
            </c:strRef>
          </c:tx>
          <c:spPr>
            <a:solidFill>
              <a:srgbClr val="74C69D"/>
            </a:solidFill>
            <a:ln w="9360">
              <a:solidFill>
                <a:srgbClr val="52B78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Charts!$D$5:$D$16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E-480E-96F5-CE39EED97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88161"/>
        <c:axId val="71381963"/>
      </c:barChart>
      <c:catAx>
        <c:axId val="53988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381963"/>
        <c:crosses val="autoZero"/>
        <c:auto val="1"/>
        <c:lblAlgn val="ctr"/>
        <c:lblOffset val="100"/>
        <c:noMultiLvlLbl val="0"/>
      </c:catAx>
      <c:valAx>
        <c:axId val="713819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88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 /><Relationship Id="rId2" Type="http://schemas.openxmlformats.org/officeDocument/2006/relationships/chart" Target="../charts/chart3.xml" /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5.xml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6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83</xdr:row>
      <xdr:rowOff>0</xdr:rowOff>
    </xdr:from>
    <xdr:to>
      <xdr:col>18</xdr:col>
      <xdr:colOff>541410</xdr:colOff>
      <xdr:row>109</xdr:row>
      <xdr:rowOff>84240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6</xdr:col>
      <xdr:colOff>587880</xdr:colOff>
      <xdr:row>44</xdr:row>
      <xdr:rowOff>84960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16</xdr:col>
      <xdr:colOff>534240</xdr:colOff>
      <xdr:row>44</xdr:row>
      <xdr:rowOff>84960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6</xdr:col>
      <xdr:colOff>587880</xdr:colOff>
      <xdr:row>77</xdr:row>
      <xdr:rowOff>85320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10</xdr:col>
      <xdr:colOff>216360</xdr:colOff>
      <xdr:row>71</xdr:row>
      <xdr:rowOff>167400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723900</xdr:colOff>
      <xdr:row>0</xdr:row>
      <xdr:rowOff>0</xdr:rowOff>
    </xdr:from>
    <xdr:to>
      <xdr:col>8</xdr:col>
      <xdr:colOff>47625</xdr:colOff>
      <xdr:row>1</xdr:row>
      <xdr:rowOff>152400</xdr:rowOff>
    </xdr:to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991475" y="0"/>
          <a:ext cx="1590675" cy="685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10</xdr:col>
      <xdr:colOff>216360</xdr:colOff>
      <xdr:row>72</xdr:row>
      <xdr:rowOff>167400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361950</xdr:colOff>
      <xdr:row>0</xdr:row>
      <xdr:rowOff>19050</xdr:rowOff>
    </xdr:from>
    <xdr:to>
      <xdr:col>7</xdr:col>
      <xdr:colOff>971551</xdr:colOff>
      <xdr:row>1</xdr:row>
      <xdr:rowOff>447675</xdr:rowOff>
    </xdr:to>
    <xdr:pic>
      <xdr:nvPicPr>
        <xdr:cNvPr id="11" name="Image 2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629525" y="19050"/>
          <a:ext cx="1743076" cy="8858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833437</xdr:colOff>
      <xdr:row>0</xdr:row>
      <xdr:rowOff>0</xdr:rowOff>
    </xdr:from>
    <xdr:to>
      <xdr:col>8</xdr:col>
      <xdr:colOff>1087597</xdr:colOff>
      <xdr:row>2</xdr:row>
      <xdr:rowOff>292098</xdr:rowOff>
    </xdr:to>
    <xdr:pic>
      <xdr:nvPicPr>
        <xdr:cNvPr id="12" name="Image 1" descr="Pictur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82125" y="0"/>
          <a:ext cx="1456691" cy="744536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627120</xdr:colOff>
      <xdr:row>3</xdr:row>
      <xdr:rowOff>161280</xdr:rowOff>
    </xdr:to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809080" y="0"/>
          <a:ext cx="1523160" cy="751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opLeftCell="A35" zoomScale="150" zoomScaleNormal="150" workbookViewId="0">
      <selection activeCell="C39" sqref="C39"/>
    </sheetView>
  </sheetViews>
  <sheetFormatPr defaultColWidth="8.7421875" defaultRowHeight="10.5" customHeight="1" x14ac:dyDescent="0.2"/>
  <cols>
    <col min="1" max="2" width="13.98828125" customWidth="1"/>
    <col min="3" max="3" width="11.296875" customWidth="1"/>
    <col min="4" max="4" width="10.35546875" customWidth="1"/>
    <col min="5" max="5" width="13.5859375" customWidth="1"/>
    <col min="6" max="6" width="20.04296875" customWidth="1"/>
    <col min="7" max="7" width="40.7578125" hidden="1" customWidth="1"/>
  </cols>
  <sheetData>
    <row r="1" spans="1:7" ht="19.5" customHeight="1" x14ac:dyDescent="0.2">
      <c r="A1" s="204" t="s">
        <v>0</v>
      </c>
      <c r="B1" s="204"/>
      <c r="C1" s="204"/>
      <c r="D1" s="204"/>
      <c r="E1" s="204"/>
      <c r="F1" s="204"/>
    </row>
    <row r="2" spans="1:7" ht="10.5" customHeight="1" x14ac:dyDescent="0.2">
      <c r="A2" s="205" t="s">
        <v>1</v>
      </c>
      <c r="B2" s="205"/>
      <c r="C2" s="205"/>
      <c r="D2" s="205"/>
      <c r="E2" s="205"/>
      <c r="F2" s="205"/>
    </row>
    <row r="4" spans="1:7" ht="10.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184" t="s">
        <v>73</v>
      </c>
    </row>
    <row r="5" spans="1:7" ht="10.5" hidden="1" customHeight="1" x14ac:dyDescent="0.2">
      <c r="A5" s="206" t="s">
        <v>8</v>
      </c>
      <c r="B5" s="206"/>
      <c r="C5" s="206"/>
      <c r="D5" s="206"/>
      <c r="E5" s="206"/>
      <c r="F5" s="206"/>
    </row>
    <row r="6" spans="1:7" ht="10.5" hidden="1" customHeight="1" x14ac:dyDescent="0.2">
      <c r="A6" s="5">
        <v>46026</v>
      </c>
      <c r="B6" s="6" t="s">
        <v>9</v>
      </c>
      <c r="C6" s="7">
        <v>0</v>
      </c>
      <c r="D6" s="7">
        <v>0</v>
      </c>
      <c r="E6" s="8">
        <f>C6+D6</f>
        <v>0</v>
      </c>
      <c r="F6" s="9">
        <f>SUM(E6)</f>
        <v>0</v>
      </c>
    </row>
    <row r="7" spans="1:7" ht="10.5" hidden="1" customHeight="1" x14ac:dyDescent="0.2">
      <c r="A7" s="5">
        <v>46033</v>
      </c>
      <c r="B7" s="6" t="s">
        <v>10</v>
      </c>
      <c r="C7" s="7">
        <v>0</v>
      </c>
      <c r="D7" s="7">
        <v>0</v>
      </c>
      <c r="E7" s="8">
        <f>C7+D7</f>
        <v>0</v>
      </c>
      <c r="F7" s="9">
        <f>SUM(E6,E7)</f>
        <v>0</v>
      </c>
    </row>
    <row r="8" spans="1:7" ht="10.5" hidden="1" customHeight="1" x14ac:dyDescent="0.2">
      <c r="A8" s="5">
        <v>46040</v>
      </c>
      <c r="B8" s="6" t="s">
        <v>11</v>
      </c>
      <c r="C8" s="7">
        <v>0</v>
      </c>
      <c r="D8" s="7">
        <v>0</v>
      </c>
      <c r="E8" s="8">
        <f>C8+D8</f>
        <v>0</v>
      </c>
      <c r="F8" s="9">
        <f>SUM(E6,E7,E8)</f>
        <v>0</v>
      </c>
    </row>
    <row r="9" spans="1:7" ht="10.5" hidden="1" customHeight="1" x14ac:dyDescent="0.2">
      <c r="A9" s="5">
        <v>46047</v>
      </c>
      <c r="B9" s="6" t="s">
        <v>12</v>
      </c>
      <c r="C9" s="7">
        <v>0</v>
      </c>
      <c r="D9" s="7">
        <v>0</v>
      </c>
      <c r="E9" s="8">
        <f>C9+D9</f>
        <v>0</v>
      </c>
      <c r="F9" s="9">
        <f>SUM(E6,E7,E8,E9)</f>
        <v>0</v>
      </c>
    </row>
    <row r="10" spans="1:7" ht="10.5" hidden="1" customHeight="1" x14ac:dyDescent="0.2">
      <c r="A10" s="207" t="s">
        <v>13</v>
      </c>
      <c r="B10" s="207"/>
      <c r="C10" s="10">
        <f>SUM(C6:C9)</f>
        <v>0</v>
      </c>
      <c r="D10" s="10">
        <f>SUM(D6:D9)</f>
        <v>0</v>
      </c>
      <c r="E10" s="10">
        <f>SUM(E6:E9)</f>
        <v>0</v>
      </c>
      <c r="F10" s="10">
        <f>SUM(E6,E7,E8,E9)</f>
        <v>0</v>
      </c>
    </row>
    <row r="11" spans="1:7" ht="10.5" hidden="1" customHeight="1" x14ac:dyDescent="0.2">
      <c r="A11" s="206" t="s">
        <v>14</v>
      </c>
      <c r="B11" s="206"/>
      <c r="C11" s="206"/>
      <c r="D11" s="206"/>
      <c r="E11" s="206"/>
      <c r="F11" s="206"/>
    </row>
    <row r="12" spans="1:7" ht="10.5" hidden="1" customHeight="1" x14ac:dyDescent="0.2">
      <c r="A12" s="5">
        <v>46054</v>
      </c>
      <c r="B12" s="6" t="s">
        <v>9</v>
      </c>
      <c r="C12" s="7">
        <v>0</v>
      </c>
      <c r="D12" s="7">
        <v>0</v>
      </c>
      <c r="E12" s="8">
        <f>C12+D12</f>
        <v>0</v>
      </c>
      <c r="F12" s="9">
        <f>SUM(E6,E7,E8,E9,E12)</f>
        <v>0</v>
      </c>
    </row>
    <row r="13" spans="1:7" ht="10.5" hidden="1" customHeight="1" x14ac:dyDescent="0.2">
      <c r="A13" s="5">
        <v>46061</v>
      </c>
      <c r="B13" s="6" t="s">
        <v>10</v>
      </c>
      <c r="C13" s="7">
        <v>0</v>
      </c>
      <c r="D13" s="7">
        <v>0</v>
      </c>
      <c r="E13" s="8">
        <f>C13+D13</f>
        <v>0</v>
      </c>
      <c r="F13" s="9">
        <f>SUM(E6,E7,E8,E9,E12,E13)</f>
        <v>0</v>
      </c>
    </row>
    <row r="14" spans="1:7" ht="10.5" hidden="1" customHeight="1" x14ac:dyDescent="0.2">
      <c r="A14" s="5">
        <v>46068</v>
      </c>
      <c r="B14" s="6" t="s">
        <v>11</v>
      </c>
      <c r="C14" s="7">
        <v>0</v>
      </c>
      <c r="D14" s="7">
        <v>0</v>
      </c>
      <c r="E14" s="8">
        <f>C14+D14</f>
        <v>0</v>
      </c>
      <c r="F14" s="9">
        <f>SUM(E6,E7,E8,E9,E12,E13,E14)</f>
        <v>0</v>
      </c>
    </row>
    <row r="15" spans="1:7" ht="10.5" hidden="1" customHeight="1" x14ac:dyDescent="0.2">
      <c r="A15" s="5">
        <v>46075</v>
      </c>
      <c r="B15" s="6" t="s">
        <v>12</v>
      </c>
      <c r="C15" s="7">
        <v>0</v>
      </c>
      <c r="D15" s="7">
        <v>0</v>
      </c>
      <c r="E15" s="8">
        <f>C15+D15</f>
        <v>0</v>
      </c>
      <c r="F15" s="9">
        <f>SUM(E6,E7,E8,E9,E12,E13,E14,E15)</f>
        <v>0</v>
      </c>
    </row>
    <row r="16" spans="1:7" ht="10.5" hidden="1" customHeight="1" x14ac:dyDescent="0.2">
      <c r="A16" s="207" t="s">
        <v>15</v>
      </c>
      <c r="B16" s="207"/>
      <c r="C16" s="10">
        <f>SUM(C12:C15)</f>
        <v>0</v>
      </c>
      <c r="D16" s="10">
        <f>SUM(D12:D15)</f>
        <v>0</v>
      </c>
      <c r="E16" s="10">
        <f>SUM(E12:E15)</f>
        <v>0</v>
      </c>
      <c r="F16" s="10">
        <f>SUM(E6,E7,E8,E9,E12,E13,E14,E15)</f>
        <v>0</v>
      </c>
    </row>
    <row r="17" spans="1:7" ht="10.5" customHeight="1" x14ac:dyDescent="0.2">
      <c r="A17" s="206" t="s">
        <v>16</v>
      </c>
      <c r="B17" s="206"/>
      <c r="C17" s="206"/>
      <c r="D17" s="206"/>
      <c r="E17" s="206"/>
      <c r="F17" s="206"/>
    </row>
    <row r="18" spans="1:7" ht="10.5" customHeight="1" x14ac:dyDescent="0.2">
      <c r="A18" s="5">
        <v>46082</v>
      </c>
      <c r="B18" s="6" t="s">
        <v>9</v>
      </c>
      <c r="C18" s="7"/>
      <c r="D18" s="7">
        <v>0</v>
      </c>
      <c r="E18" s="8">
        <f>C18+D18</f>
        <v>0</v>
      </c>
      <c r="F18" s="9">
        <f>SUM(E6,E7,E8,E9,E12,E13,E14,E15,E18)</f>
        <v>0</v>
      </c>
      <c r="G18" s="185" t="s">
        <v>282</v>
      </c>
    </row>
    <row r="19" spans="1:7" ht="10.5" customHeight="1" x14ac:dyDescent="0.2">
      <c r="A19" s="5">
        <v>46089</v>
      </c>
      <c r="B19" s="6" t="s">
        <v>10</v>
      </c>
      <c r="C19" s="7">
        <v>3160</v>
      </c>
      <c r="D19" s="7">
        <v>0</v>
      </c>
      <c r="E19" s="8">
        <f>C19+D19</f>
        <v>3160</v>
      </c>
      <c r="F19" s="9">
        <f>SUM(E6,E7,E8,E9,E12,E13,E14,E15,E18,E19)</f>
        <v>3160</v>
      </c>
      <c r="G19" s="185" t="s">
        <v>283</v>
      </c>
    </row>
    <row r="20" spans="1:7" ht="10.5" customHeight="1" x14ac:dyDescent="0.2">
      <c r="A20" s="5">
        <v>46096</v>
      </c>
      <c r="B20" s="6" t="s">
        <v>11</v>
      </c>
      <c r="C20" s="7">
        <v>6310</v>
      </c>
      <c r="D20" s="7">
        <v>0</v>
      </c>
      <c r="E20" s="8">
        <f>C20+D20</f>
        <v>6310</v>
      </c>
      <c r="F20" s="9">
        <f>SUM(E6,E7,E8,E9,E12,E13,E14,E15,E18,E19,E20)</f>
        <v>9470</v>
      </c>
    </row>
    <row r="21" spans="1:7" ht="10.5" customHeight="1" x14ac:dyDescent="0.2">
      <c r="A21" s="5">
        <v>46103</v>
      </c>
      <c r="B21" s="6" t="s">
        <v>12</v>
      </c>
      <c r="C21" s="7">
        <v>4680</v>
      </c>
      <c r="D21" s="7">
        <v>0</v>
      </c>
      <c r="E21" s="8">
        <f>C21+D21</f>
        <v>4680</v>
      </c>
      <c r="F21" s="9">
        <f>SUM(E6,E7,E8,E9,E12,E13,E14,E15,E18,E19,E20,E21)</f>
        <v>14150</v>
      </c>
    </row>
    <row r="22" spans="1:7" ht="10.5" customHeight="1" x14ac:dyDescent="0.2">
      <c r="A22" s="5">
        <v>46110</v>
      </c>
      <c r="B22" s="6" t="s">
        <v>17</v>
      </c>
      <c r="C22" s="7">
        <v>4620</v>
      </c>
      <c r="D22" s="7">
        <v>0</v>
      </c>
      <c r="E22" s="8">
        <f>C22+D22</f>
        <v>4620</v>
      </c>
      <c r="F22" s="9">
        <f>SUM(E6,E7,E8,E9,E12,E13,E14,E15,E18,E19,E20,E21,E22)</f>
        <v>18770</v>
      </c>
    </row>
    <row r="23" spans="1:7" ht="10.5" customHeight="1" x14ac:dyDescent="0.2">
      <c r="A23" s="207" t="s">
        <v>18</v>
      </c>
      <c r="B23" s="207"/>
      <c r="C23" s="10">
        <f>SUM(C18:C22)</f>
        <v>18770</v>
      </c>
      <c r="D23" s="10">
        <f>SUM(D18:D22)</f>
        <v>0</v>
      </c>
      <c r="E23" s="10">
        <f>SUM(E18:E22)</f>
        <v>18770</v>
      </c>
      <c r="F23" s="10">
        <f>SUM(E6,E7,E8,E9,E12,E13,E14,E15,E18,E19,E20,E21,E22)</f>
        <v>18770</v>
      </c>
    </row>
    <row r="24" spans="1:7" ht="10.5" customHeight="1" x14ac:dyDescent="0.2">
      <c r="A24" s="206" t="s">
        <v>19</v>
      </c>
      <c r="B24" s="206"/>
      <c r="C24" s="206"/>
      <c r="D24" s="206"/>
      <c r="E24" s="206"/>
      <c r="F24" s="206"/>
    </row>
    <row r="25" spans="1:7" ht="10.5" customHeight="1" x14ac:dyDescent="0.2">
      <c r="A25" s="5">
        <v>46117</v>
      </c>
      <c r="B25" s="6" t="s">
        <v>9</v>
      </c>
      <c r="C25" s="7">
        <v>12780</v>
      </c>
      <c r="D25" s="7">
        <v>0</v>
      </c>
      <c r="E25" s="8">
        <f>C25+D25</f>
        <v>12780</v>
      </c>
      <c r="F25" s="9">
        <f>SUM(E6,E7,E8,E9,E12,E13,E14,E15,E18,E19,E20,E21,E22,E25)</f>
        <v>31550</v>
      </c>
    </row>
    <row r="26" spans="1:7" ht="10.5" customHeight="1" x14ac:dyDescent="0.2">
      <c r="A26" s="5">
        <v>46124</v>
      </c>
      <c r="B26" s="6" t="s">
        <v>10</v>
      </c>
      <c r="C26" s="7">
        <v>6280</v>
      </c>
      <c r="D26" s="7">
        <v>0</v>
      </c>
      <c r="E26" s="8">
        <f>C26+D26</f>
        <v>6280</v>
      </c>
      <c r="F26" s="9">
        <f>SUM(E6,E7,E8,E9,E12,E13,E14,E15,E18,E19,E20,E21,E22,E25,E26)</f>
        <v>37830</v>
      </c>
    </row>
    <row r="27" spans="1:7" ht="10.5" customHeight="1" x14ac:dyDescent="0.2">
      <c r="A27" s="5">
        <v>46131</v>
      </c>
      <c r="B27" s="6" t="s">
        <v>11</v>
      </c>
      <c r="C27" s="7">
        <v>7530.5</v>
      </c>
      <c r="D27" s="7">
        <v>0</v>
      </c>
      <c r="E27" s="8">
        <f>C27+D27</f>
        <v>7530.5</v>
      </c>
      <c r="F27" s="9">
        <f>SUM(E6,E7,E8,E9,E12,E13,E14,E15,E18,E19,E20,E21,E22,E25,E26,E27)</f>
        <v>45360.5</v>
      </c>
    </row>
    <row r="28" spans="1:7" ht="10.5" customHeight="1" x14ac:dyDescent="0.2">
      <c r="A28" s="5">
        <v>46138</v>
      </c>
      <c r="B28" s="6" t="s">
        <v>12</v>
      </c>
      <c r="C28" s="7">
        <v>6600</v>
      </c>
      <c r="D28" s="7">
        <v>0</v>
      </c>
      <c r="E28" s="8">
        <f>C28+D28</f>
        <v>6600</v>
      </c>
      <c r="F28" s="9">
        <f>SUM(E6,E7,E8,E9,E12,E13,E14,E15,E18,E19,E20,E21,E22,E25,E26,E27,E28)</f>
        <v>51960.5</v>
      </c>
    </row>
    <row r="29" spans="1:7" ht="15" x14ac:dyDescent="0.2">
      <c r="A29" s="207" t="s">
        <v>20</v>
      </c>
      <c r="B29" s="207"/>
      <c r="C29" s="10">
        <f>SUM(C25:C28)</f>
        <v>33190.5</v>
      </c>
      <c r="D29" s="10">
        <f>SUM(D25:D28)</f>
        <v>0</v>
      </c>
      <c r="E29" s="10">
        <f>SUM(E25:E28)</f>
        <v>33190.5</v>
      </c>
      <c r="F29" s="10">
        <f>SUM(E6,E7,E8,E9,E12,E13,E14,E15,E18,E19,E20,E21,E22,E25,E26,E27,E28)</f>
        <v>51960.5</v>
      </c>
    </row>
    <row r="30" spans="1:7" ht="15" x14ac:dyDescent="0.2">
      <c r="A30" s="206" t="s">
        <v>21</v>
      </c>
      <c r="B30" s="206"/>
      <c r="C30" s="206"/>
      <c r="D30" s="206"/>
      <c r="E30" s="206"/>
      <c r="F30" s="206"/>
    </row>
    <row r="31" spans="1:7" ht="15" x14ac:dyDescent="0.2">
      <c r="A31" s="5">
        <v>46145</v>
      </c>
      <c r="B31" s="6" t="s">
        <v>9</v>
      </c>
      <c r="C31" s="7">
        <v>2740</v>
      </c>
      <c r="D31" s="7">
        <v>0</v>
      </c>
      <c r="E31" s="8">
        <f>C31+D31</f>
        <v>2740</v>
      </c>
      <c r="F31" s="9">
        <f>SUM(E6,E7,E8,E9,E12,E13,E14,E15,E18,E19,E20,E21,E22,E25,E26,E27,E28,E31)</f>
        <v>54700.5</v>
      </c>
    </row>
    <row r="32" spans="1:7" ht="15" x14ac:dyDescent="0.2">
      <c r="A32" s="5">
        <v>46152</v>
      </c>
      <c r="B32" s="6" t="s">
        <v>10</v>
      </c>
      <c r="C32" s="7">
        <v>2770</v>
      </c>
      <c r="D32" s="7">
        <v>0</v>
      </c>
      <c r="E32" s="8">
        <f>C32+D32</f>
        <v>2770</v>
      </c>
      <c r="F32" s="9">
        <f>SUM(E6,E7,E8,E9,E12,E13,E14,E15,E18,E19,E20,E21,E22,E25,E26,E27,E28,E31,E32)</f>
        <v>57470.5</v>
      </c>
    </row>
    <row r="33" spans="1:6" ht="15" x14ac:dyDescent="0.2">
      <c r="A33" s="5">
        <v>46159</v>
      </c>
      <c r="B33" s="6" t="s">
        <v>11</v>
      </c>
      <c r="C33" s="7">
        <v>11371</v>
      </c>
      <c r="D33" s="7">
        <v>0</v>
      </c>
      <c r="E33" s="8">
        <f>C33+D33</f>
        <v>11371</v>
      </c>
      <c r="F33" s="9">
        <f>SUM(E6,E7,E8,E9,E12,E13,E14,E15,E18,E19,E20,E21,E22,E25,E26,E27,E28,E31,E32,E33)</f>
        <v>68841.5</v>
      </c>
    </row>
    <row r="34" spans="1:6" ht="15" x14ac:dyDescent="0.2">
      <c r="A34" s="5">
        <v>46166</v>
      </c>
      <c r="B34" s="6" t="s">
        <v>12</v>
      </c>
      <c r="C34" s="7">
        <v>4110</v>
      </c>
      <c r="D34" s="7">
        <v>0</v>
      </c>
      <c r="E34" s="8">
        <f>C34+D34</f>
        <v>4110</v>
      </c>
      <c r="F34" s="9">
        <f>SUM(E6,E7,E8,E9,E12,E13,E14,E15,E18,E19,E20,E21,E22,E25,E26,E27,E28,E31,E32,E33,E34)</f>
        <v>72951.5</v>
      </c>
    </row>
    <row r="35" spans="1:6" ht="15" x14ac:dyDescent="0.2">
      <c r="A35" s="5">
        <v>46173</v>
      </c>
      <c r="B35" s="6" t="s">
        <v>17</v>
      </c>
      <c r="C35" s="7">
        <v>1790</v>
      </c>
      <c r="D35" s="7">
        <v>0</v>
      </c>
      <c r="E35" s="8">
        <f>C35+D35</f>
        <v>1790</v>
      </c>
      <c r="F35" s="9">
        <f>SUM(E6,E7,E8,E9,E12,E13,E14,E15,E18,E19,E20,E21,E22,E25,E26,E27,E28,E31,E32,E33,E34,E35)</f>
        <v>74741.5</v>
      </c>
    </row>
    <row r="36" spans="1:6" ht="15" x14ac:dyDescent="0.2">
      <c r="A36" s="207" t="s">
        <v>22</v>
      </c>
      <c r="B36" s="207"/>
      <c r="C36" s="10">
        <f>SUM(C31:C35)</f>
        <v>22781</v>
      </c>
      <c r="D36" s="10">
        <f>SUM(D31:D35)</f>
        <v>0</v>
      </c>
      <c r="E36" s="10">
        <f>SUM(E31:E35)</f>
        <v>22781</v>
      </c>
      <c r="F36" s="10">
        <f>SUM(E6,E7,E8,E9,E12,E13,E14,E15,E18,E19,E20,E21,E22,E25,E26,E27,E28,E31,E32,E33,E34,E35)</f>
        <v>74741.5</v>
      </c>
    </row>
    <row r="37" spans="1:6" ht="15" x14ac:dyDescent="0.2">
      <c r="A37" s="206" t="s">
        <v>23</v>
      </c>
      <c r="B37" s="206"/>
      <c r="C37" s="206"/>
      <c r="D37" s="206"/>
      <c r="E37" s="206"/>
      <c r="F37" s="206"/>
    </row>
    <row r="38" spans="1:6" ht="15" x14ac:dyDescent="0.2">
      <c r="A38" s="5">
        <v>46180</v>
      </c>
      <c r="B38" s="6" t="s">
        <v>9</v>
      </c>
      <c r="C38" s="7">
        <v>3545</v>
      </c>
      <c r="D38" s="7">
        <v>0</v>
      </c>
      <c r="E38" s="8">
        <f>C38+D38</f>
        <v>3545</v>
      </c>
      <c r="F38" s="9">
        <f>SUM(E6,E7,E8,E9,E12,E13,E14,E15,E18,E19,E20,E21,E22,E25,E26,E27,E28,E31,E32,E33,E34,E35,E38)</f>
        <v>78286.5</v>
      </c>
    </row>
    <row r="39" spans="1:6" ht="15" x14ac:dyDescent="0.2">
      <c r="A39" s="5">
        <v>46187</v>
      </c>
      <c r="B39" s="6" t="s">
        <v>10</v>
      </c>
      <c r="C39" s="7">
        <v>0</v>
      </c>
      <c r="D39" s="7">
        <v>0</v>
      </c>
      <c r="E39" s="8">
        <f>C39+D39</f>
        <v>0</v>
      </c>
      <c r="F39" s="9">
        <f>SUM(E6,E7,E8,E9,E12,E13,E14,E15,E18,E19,E20,E21,E22,E25,E26,E27,E28,E31,E32,E33,E34,E35,E38,E39)</f>
        <v>78286.5</v>
      </c>
    </row>
    <row r="40" spans="1:6" ht="15" x14ac:dyDescent="0.2">
      <c r="A40" s="5">
        <v>46194</v>
      </c>
      <c r="B40" s="6" t="s">
        <v>11</v>
      </c>
      <c r="C40" s="7">
        <v>0</v>
      </c>
      <c r="D40" s="7">
        <v>0</v>
      </c>
      <c r="E40" s="8">
        <f>C40+D40</f>
        <v>0</v>
      </c>
      <c r="F40" s="9">
        <f>SUM(E6,E7,E8,E9,E12,E13,E14,E15,E18,E19,E20,E21,E22,E25,E26,E27,E28,E31,E32,E33,E34,E35,E38,E39,E40)</f>
        <v>78286.5</v>
      </c>
    </row>
    <row r="41" spans="1:6" ht="15" x14ac:dyDescent="0.2">
      <c r="A41" s="5">
        <v>46201</v>
      </c>
      <c r="B41" s="6" t="s">
        <v>12</v>
      </c>
      <c r="C41" s="7">
        <v>0</v>
      </c>
      <c r="D41" s="7">
        <v>0</v>
      </c>
      <c r="E41" s="8">
        <f>C41+D41</f>
        <v>0</v>
      </c>
      <c r="F41" s="9">
        <f>SUM(E6,E7,E8,E9,E12,E13,E14,E15,E18,E19,E20,E21,E22,E25,E26,E27,E28,E31,E32,E33,E34,E35,E38,E39,E40,E41)</f>
        <v>78286.5</v>
      </c>
    </row>
    <row r="42" spans="1:6" ht="15" x14ac:dyDescent="0.2">
      <c r="A42" s="207" t="s">
        <v>24</v>
      </c>
      <c r="B42" s="207"/>
      <c r="C42" s="10">
        <f>SUM(C38:C41)</f>
        <v>3545</v>
      </c>
      <c r="D42" s="10">
        <f>SUM(D38:D41)</f>
        <v>0</v>
      </c>
      <c r="E42" s="10">
        <f>SUM(E38:E41)</f>
        <v>3545</v>
      </c>
      <c r="F42" s="10">
        <f>SUM(E6,E7,E8,E9,E12,E13,E14,E15,E18,E19,E20,E21,E22,E25,E26,E27,E28,E31,E32,E33,E34,E35,E38,E39,E40,E41)</f>
        <v>78286.5</v>
      </c>
    </row>
    <row r="43" spans="1:6" ht="15" x14ac:dyDescent="0.2">
      <c r="A43" s="206" t="s">
        <v>25</v>
      </c>
      <c r="B43" s="206"/>
      <c r="C43" s="206"/>
      <c r="D43" s="206"/>
      <c r="E43" s="206"/>
      <c r="F43" s="206"/>
    </row>
    <row r="44" spans="1:6" ht="15" x14ac:dyDescent="0.2">
      <c r="A44" s="5">
        <v>46208</v>
      </c>
      <c r="B44" s="6" t="s">
        <v>9</v>
      </c>
      <c r="C44" s="7">
        <v>0</v>
      </c>
      <c r="D44" s="7">
        <v>0</v>
      </c>
      <c r="E44" s="8">
        <f>C44+D44</f>
        <v>0</v>
      </c>
      <c r="F44" s="9">
        <f>SUM(E6,E7,E8,E9,E12,E13,E14,E15,E18,E19,E20,E21,E22,E25,E26,E27,E28,E31,E32,E33,E34,E35,E38,E39,E40,E41,E44)</f>
        <v>78286.5</v>
      </c>
    </row>
    <row r="45" spans="1:6" ht="15" x14ac:dyDescent="0.2">
      <c r="A45" s="5">
        <v>46215</v>
      </c>
      <c r="B45" s="6" t="s">
        <v>10</v>
      </c>
      <c r="C45" s="7">
        <v>0</v>
      </c>
      <c r="D45" s="7">
        <v>0</v>
      </c>
      <c r="E45" s="8">
        <f>C45+D45</f>
        <v>0</v>
      </c>
      <c r="F45" s="9">
        <f>SUM(E6,E7,E8,E9,E12,E13,E14,E15,E18,E19,E20,E21,E22,E25,E26,E27,E28,E31,E32,E33,E34,E35,E38,E39,E40,E41,E44,E45)</f>
        <v>78286.5</v>
      </c>
    </row>
    <row r="46" spans="1:6" ht="15" x14ac:dyDescent="0.2">
      <c r="A46" s="5">
        <v>46222</v>
      </c>
      <c r="B46" s="6" t="s">
        <v>11</v>
      </c>
      <c r="C46" s="7">
        <v>0</v>
      </c>
      <c r="D46" s="7">
        <v>0</v>
      </c>
      <c r="E46" s="8">
        <f>C46+D46</f>
        <v>0</v>
      </c>
      <c r="F46" s="9">
        <f>SUM(E6,E7,E8,E9,E12,E13,E14,E15,E18,E19,E20,E21,E22,E25,E26,E27,E28,E31,E32,E33,E34,E35,E38,E39,E40,E41,E44,E45,E46)</f>
        <v>78286.5</v>
      </c>
    </row>
    <row r="47" spans="1:6" ht="15" x14ac:dyDescent="0.2">
      <c r="A47" s="5">
        <v>46229</v>
      </c>
      <c r="B47" s="6" t="s">
        <v>12</v>
      </c>
      <c r="C47" s="7">
        <v>0</v>
      </c>
      <c r="D47" s="7">
        <v>0</v>
      </c>
      <c r="E47" s="8">
        <f>C47+D47</f>
        <v>0</v>
      </c>
      <c r="F47" s="9">
        <f>SUM(E6,E7,E8,E9,E12,E13,E14,E15,E18,E19,E20,E21,E22,E25,E26,E27,E28,E31,E32,E33,E34,E35,E38,E39,E40,E41,E44,E45,E46,E47)</f>
        <v>78286.5</v>
      </c>
    </row>
    <row r="48" spans="1:6" ht="15" x14ac:dyDescent="0.2">
      <c r="A48" s="207" t="s">
        <v>26</v>
      </c>
      <c r="B48" s="207"/>
      <c r="C48" s="10">
        <f>SUM(C44:C47)</f>
        <v>0</v>
      </c>
      <c r="D48" s="10">
        <f>SUM(D44:D47)</f>
        <v>0</v>
      </c>
      <c r="E48" s="10">
        <f>SUM(E44:E47)</f>
        <v>0</v>
      </c>
      <c r="F48" s="10">
        <f>SUM(E6,E7,E8,E9,E12,E13,E14,E15,E18,E19,E20,E21,E22,E25,E26,E27,E28,E31,E32,E33,E34,E35,E38,E39,E40,E41,E44,E45,E46,E47)</f>
        <v>78286.5</v>
      </c>
    </row>
    <row r="49" spans="1:6" ht="15" x14ac:dyDescent="0.2">
      <c r="A49" s="206" t="s">
        <v>27</v>
      </c>
      <c r="B49" s="206"/>
      <c r="C49" s="206"/>
      <c r="D49" s="206"/>
      <c r="E49" s="206"/>
      <c r="F49" s="206"/>
    </row>
    <row r="50" spans="1:6" ht="15" x14ac:dyDescent="0.2">
      <c r="A50" s="5">
        <v>46236</v>
      </c>
      <c r="B50" s="6" t="s">
        <v>9</v>
      </c>
      <c r="C50" s="7">
        <v>0</v>
      </c>
      <c r="D50" s="7">
        <v>0</v>
      </c>
      <c r="E50" s="8">
        <f>C50+D50</f>
        <v>0</v>
      </c>
      <c r="F50" s="9">
        <f>SUM(E6,E7,E8,E9,E12,E13,E14,E15,E18,E19,E20,E21,E22,E25,E26,E27,E28,E31,E32,E33,E34,E35,E38,E39,E40,E41,E44,E45,E46,E47,E50)</f>
        <v>78286.5</v>
      </c>
    </row>
    <row r="51" spans="1:6" ht="15" x14ac:dyDescent="0.2">
      <c r="A51" s="5">
        <v>46243</v>
      </c>
      <c r="B51" s="6" t="s">
        <v>10</v>
      </c>
      <c r="C51" s="7">
        <v>0</v>
      </c>
      <c r="D51" s="7">
        <v>0</v>
      </c>
      <c r="E51" s="8">
        <f>C51+D51</f>
        <v>0</v>
      </c>
      <c r="F51" s="9">
        <f>SUM(E6,E7,E8,E9,E12,E13,E14,E15,E18,E19,E20,E21,E22,E25,E26,E27,E28,E31,E32,E33,E34,E35,E38,E39,E40,E41,E44,E45,E46,E47,E50,E51)</f>
        <v>78286.5</v>
      </c>
    </row>
    <row r="52" spans="1:6" ht="15" x14ac:dyDescent="0.2">
      <c r="A52" s="5">
        <v>46250</v>
      </c>
      <c r="B52" s="6" t="s">
        <v>11</v>
      </c>
      <c r="C52" s="7">
        <v>0</v>
      </c>
      <c r="D52" s="7">
        <v>0</v>
      </c>
      <c r="E52" s="8">
        <f>C52+D52</f>
        <v>0</v>
      </c>
      <c r="F52" s="9">
        <f>SUM(E6,E7,E8,E9,E12,E13,E14,E15,E18,E19,E20,E21,E22,E25,E26,E27,E28,E31,E32,E33,E34,E35,E38,E39,E40,E41,E44,E45,E46,E47,E50,E51,E52)</f>
        <v>78286.5</v>
      </c>
    </row>
    <row r="53" spans="1:6" ht="15" x14ac:dyDescent="0.2">
      <c r="A53" s="5">
        <v>46257</v>
      </c>
      <c r="B53" s="6" t="s">
        <v>12</v>
      </c>
      <c r="C53" s="7">
        <v>0</v>
      </c>
      <c r="D53" s="7">
        <v>0</v>
      </c>
      <c r="E53" s="8">
        <f>C53+D53</f>
        <v>0</v>
      </c>
      <c r="F53" s="9">
        <f>SUM(E6,E7,E8,E9,E12,E13,E14,E15,E18,E19,E20,E21,E22,E25,E26,E27,E28,E31,E32,E33,E34,E35,E38,E39,E40,E41,E44,E45,E46,E47,E50,E51,E52,E53)</f>
        <v>78286.5</v>
      </c>
    </row>
    <row r="54" spans="1:6" ht="15" x14ac:dyDescent="0.2">
      <c r="A54" s="5">
        <v>46264</v>
      </c>
      <c r="B54" s="6" t="s">
        <v>17</v>
      </c>
      <c r="C54" s="7">
        <v>0</v>
      </c>
      <c r="D54" s="7">
        <v>0</v>
      </c>
      <c r="E54" s="8">
        <f>C54+D54</f>
        <v>0</v>
      </c>
      <c r="F54" s="9">
        <f>SUM(E6,E7,E8,E9,E12,E13,E14,E15,E18,E19,E20,E21,E22,E25,E26,E27,E28,E31,E32,E33,E34,E35,E38,E39,E40,E41,E44,E45,E46,E47,E50,E51,E52,E53,E54)</f>
        <v>78286.5</v>
      </c>
    </row>
    <row r="55" spans="1:6" ht="15" x14ac:dyDescent="0.2">
      <c r="A55" s="207" t="s">
        <v>28</v>
      </c>
      <c r="B55" s="207"/>
      <c r="C55" s="10">
        <f>SUM(C50:C54)</f>
        <v>0</v>
      </c>
      <c r="D55" s="10">
        <f>SUM(D50:D54)</f>
        <v>0</v>
      </c>
      <c r="E55" s="10">
        <f>SUM(E50:E54)</f>
        <v>0</v>
      </c>
      <c r="F55" s="10">
        <f>SUM(E6,E7,E8,E9,E12,E13,E14,E15,E18,E19,E20,E21,E22,E25,E26,E27,E28,E31,E32,E33,E34,E35,E38,E39,E40,E41,E44,E45,E46,E47,E50,E51,E52,E53,E54)</f>
        <v>78286.5</v>
      </c>
    </row>
    <row r="56" spans="1:6" ht="15" x14ac:dyDescent="0.2">
      <c r="A56" s="206" t="s">
        <v>29</v>
      </c>
      <c r="B56" s="206"/>
      <c r="C56" s="206"/>
      <c r="D56" s="206"/>
      <c r="E56" s="206"/>
      <c r="F56" s="206"/>
    </row>
    <row r="57" spans="1:6" ht="15" x14ac:dyDescent="0.2">
      <c r="A57" s="5">
        <v>46271</v>
      </c>
      <c r="B57" s="6" t="s">
        <v>9</v>
      </c>
      <c r="C57" s="7">
        <v>0</v>
      </c>
      <c r="D57" s="7">
        <v>0</v>
      </c>
      <c r="E57" s="8">
        <f>C57+D57</f>
        <v>0</v>
      </c>
      <c r="F57" s="9">
        <f>SUM(E6,E7,E8,E9,E12,E13,E14,E15,E18,E19,E20,E21,E22,E25,E26,E27,E28,E31,E32,E33,E34,E35,E38,E39,E40,E41,E44,E45,E46,E47,E50,E51,E52,E53,E54,E57)</f>
        <v>78286.5</v>
      </c>
    </row>
    <row r="58" spans="1:6" ht="15" x14ac:dyDescent="0.2">
      <c r="A58" s="5">
        <v>46278</v>
      </c>
      <c r="B58" s="6" t="s">
        <v>10</v>
      </c>
      <c r="C58" s="7">
        <v>0</v>
      </c>
      <c r="D58" s="7">
        <v>0</v>
      </c>
      <c r="E58" s="8">
        <f>C58+D58</f>
        <v>0</v>
      </c>
      <c r="F58" s="9">
        <f>SUM(E6,E7,E8,E9,E12,E13,E14,E15,E18,E19,E20,E21,E22,E25,E26,E27,E28,E31,E32,E33,E34,E35,E38,E39,E40,E41,E44,E45,E46,E47,E50,E51,E52,E53,E54,E57,E58)</f>
        <v>78286.5</v>
      </c>
    </row>
    <row r="59" spans="1:6" ht="15" x14ac:dyDescent="0.2">
      <c r="A59" s="5">
        <v>46285</v>
      </c>
      <c r="B59" s="6" t="s">
        <v>11</v>
      </c>
      <c r="C59" s="7">
        <v>0</v>
      </c>
      <c r="D59" s="7">
        <v>0</v>
      </c>
      <c r="E59" s="8">
        <f>C59+D59</f>
        <v>0</v>
      </c>
      <c r="F59" s="9">
        <f>SUM(E6,E7,E8,E9,E12,E13,E14,E15,E18,E19,E20,E21,E22,E25,E26,E27,E28,E31,E32,E33,E34,E35,E38,E39,E40,E41,E44,E45,E46,E47,E50,E51,E52,E53,E54,E57,E58,E59)</f>
        <v>78286.5</v>
      </c>
    </row>
    <row r="60" spans="1:6" ht="15" x14ac:dyDescent="0.2">
      <c r="A60" s="5">
        <v>46292</v>
      </c>
      <c r="B60" s="6" t="s">
        <v>12</v>
      </c>
      <c r="C60" s="7">
        <v>0</v>
      </c>
      <c r="D60" s="7">
        <v>0</v>
      </c>
      <c r="E60" s="8">
        <f>C60+D60</f>
        <v>0</v>
      </c>
      <c r="F60" s="9">
        <f>SUM(E6,E7,E8,E9,E12,E13,E14,E15,E18,E19,E20,E21,E22,E25,E26,E27,E28,E31,E32,E33,E34,E35,E38,E39,E40,E41,E44,E45,E46,E47,E50,E51,E52,E53,E54,E57,E58,E59,E60)</f>
        <v>78286.5</v>
      </c>
    </row>
    <row r="61" spans="1:6" ht="15" x14ac:dyDescent="0.2">
      <c r="A61" s="207" t="s">
        <v>30</v>
      </c>
      <c r="B61" s="207"/>
      <c r="C61" s="10">
        <f>SUM(C57:C60)</f>
        <v>0</v>
      </c>
      <c r="D61" s="10">
        <f>SUM(D57:D60)</f>
        <v>0</v>
      </c>
      <c r="E61" s="10">
        <f>SUM(E57:E60)</f>
        <v>0</v>
      </c>
      <c r="F61" s="10">
        <f>SUM(E6,E7,E8,E9,E12,E13,E14,E15,E18,E19,E20,E21,E22,E25,E26,E27,E28,E31,E32,E33,E34,E35,E38,E39,E40,E41,E44,E45,E46,E47,E50,E51,E52,E53,E54,E57,E58,E59,E60)</f>
        <v>78286.5</v>
      </c>
    </row>
    <row r="62" spans="1:6" ht="15" x14ac:dyDescent="0.2">
      <c r="A62" s="206" t="s">
        <v>31</v>
      </c>
      <c r="B62" s="206"/>
      <c r="C62" s="206"/>
      <c r="D62" s="206"/>
      <c r="E62" s="206"/>
      <c r="F62" s="206"/>
    </row>
    <row r="63" spans="1:6" ht="15" x14ac:dyDescent="0.2">
      <c r="A63" s="5">
        <v>46299</v>
      </c>
      <c r="B63" s="6" t="s">
        <v>9</v>
      </c>
      <c r="C63" s="7">
        <v>0</v>
      </c>
      <c r="D63" s="7">
        <v>0</v>
      </c>
      <c r="E63" s="8">
        <f>C63+D63</f>
        <v>0</v>
      </c>
      <c r="F63" s="9">
        <f>SUM(E6,E7,E8,E9,E12,E13,E14,E15,E18,E19,E20,E21,E22,E25,E26,E27,E28,E31,E32,E33,E34,E35,E38,E39,E40,E41,E44,E45,E46,E47,E50,E51,E52,E53,E54,E57,E58,E59,E60,E63)</f>
        <v>78286.5</v>
      </c>
    </row>
    <row r="64" spans="1:6" ht="15" x14ac:dyDescent="0.2">
      <c r="A64" s="5">
        <v>46306</v>
      </c>
      <c r="B64" s="6" t="s">
        <v>10</v>
      </c>
      <c r="C64" s="7">
        <v>0</v>
      </c>
      <c r="D64" s="7">
        <v>0</v>
      </c>
      <c r="E64" s="8">
        <f>C64+D64</f>
        <v>0</v>
      </c>
      <c r="F64" s="9">
        <f>SUM(E6,E7,E8,E9,E12,E13,E14,E15,E18,E19,E20,E21,E22,E25,E26,E27,E28,E31,E32,E33,E34,E35,E38,E39,E40,E41,E44,E45,E46,E47,E50,E51,E52,E53,E54,E57,E58,E59,E60,E63,E64)</f>
        <v>78286.5</v>
      </c>
    </row>
    <row r="65" spans="1:6" ht="15" x14ac:dyDescent="0.2">
      <c r="A65" s="5">
        <v>46313</v>
      </c>
      <c r="B65" s="6" t="s">
        <v>11</v>
      </c>
      <c r="C65" s="7">
        <v>0</v>
      </c>
      <c r="D65" s="7">
        <v>0</v>
      </c>
      <c r="E65" s="8">
        <f>C65+D65</f>
        <v>0</v>
      </c>
      <c r="F65" s="9">
        <f>SUM(E6,E7,E8,E9,E12,E13,E14,E15,E18,E19,E20,E21,E22,E25,E26,E27,E28,E31,E32,E33,E34,E35,E38,E39,E40,E41,E44,E45,E46,E47,E50,E51,E52,E53,E54,E57,E58,E59,E60,E63,E64,E65)</f>
        <v>78286.5</v>
      </c>
    </row>
    <row r="66" spans="1:6" ht="15" x14ac:dyDescent="0.2">
      <c r="A66" s="5">
        <v>46320</v>
      </c>
      <c r="B66" s="6" t="s">
        <v>12</v>
      </c>
      <c r="C66" s="7">
        <v>0</v>
      </c>
      <c r="D66" s="7">
        <v>0</v>
      </c>
      <c r="E66" s="8">
        <f>C66+D66</f>
        <v>0</v>
      </c>
      <c r="F66" s="9">
        <f>SUM(E6,E7,E8,E9,E12,E13,E14,E15,E18,E19,E20,E21,E22,E25,E26,E27,E28,E31,E32,E33,E34,E35,E38,E39,E40,E41,E44,E45,E46,E47,E50,E51,E52,E53,E54,E57,E58,E59,E60,E63,E64,E65,E66)</f>
        <v>78286.5</v>
      </c>
    </row>
    <row r="67" spans="1:6" ht="15" x14ac:dyDescent="0.2">
      <c r="A67" s="207" t="s">
        <v>32</v>
      </c>
      <c r="B67" s="207"/>
      <c r="C67" s="10">
        <f>SUM(C63:C66)</f>
        <v>0</v>
      </c>
      <c r="D67" s="10">
        <f>SUM(D63:D66)</f>
        <v>0</v>
      </c>
      <c r="E67" s="10">
        <f>SUM(E63:E66)</f>
        <v>0</v>
      </c>
      <c r="F67" s="10">
        <f>SUM(E6,E7,E8,E9,E12,E13,E14,E15,E18,E19,E20,E21,E22,E25,E26,E27,E28,E31,E32,E33,E34,E35,E38,E39,E40,E41,E44,E45,E46,E47,E50,E51,E52,E53,E54,E57,E58,E59,E60,E63,E64,E65,E66)</f>
        <v>78286.5</v>
      </c>
    </row>
    <row r="68" spans="1:6" ht="15" x14ac:dyDescent="0.2">
      <c r="A68" s="206" t="s">
        <v>33</v>
      </c>
      <c r="B68" s="206"/>
      <c r="C68" s="206"/>
      <c r="D68" s="206"/>
      <c r="E68" s="206"/>
      <c r="F68" s="206"/>
    </row>
    <row r="69" spans="1:6" ht="15" x14ac:dyDescent="0.2">
      <c r="A69" s="5">
        <v>46327</v>
      </c>
      <c r="B69" s="6" t="s">
        <v>9</v>
      </c>
      <c r="C69" s="7">
        <v>0</v>
      </c>
      <c r="D69" s="7">
        <v>0</v>
      </c>
      <c r="E69" s="8">
        <f>C69+D69</f>
        <v>0</v>
      </c>
      <c r="F69" s="9">
        <f>SUM(E6,E7,E8,E9,E12,E13,E14,E15,E18,E19,E20,E21,E22,E25,E26,E27,E28,E31,E32,E33,E34,E35,E38,E39,E40,E41,E44,E45,E46,E47,E50,E51,E52,E53,E54,E57,E58,E59,E60,E63,E64,E65,E66,E69)</f>
        <v>78286.5</v>
      </c>
    </row>
    <row r="70" spans="1:6" ht="15" x14ac:dyDescent="0.2">
      <c r="A70" s="5">
        <v>46334</v>
      </c>
      <c r="B70" s="6" t="s">
        <v>10</v>
      </c>
      <c r="C70" s="7">
        <v>0</v>
      </c>
      <c r="D70" s="7">
        <v>0</v>
      </c>
      <c r="E70" s="8">
        <f>C70+D70</f>
        <v>0</v>
      </c>
      <c r="F70" s="9">
        <f>SUM(E6,E7,E8,E9,E12,E13,E14,E15,E18,E19,E20,E21,E22,E25,E26,E27,E28,E31,E32,E33,E34,E35,E38,E39,E40,E41,E44,E45,E46,E47,E50,E51,E52,E53,E54,E57,E58,E59,E60,E63,E64,E65,E66,E69,E70)</f>
        <v>78286.5</v>
      </c>
    </row>
    <row r="71" spans="1:6" ht="15" x14ac:dyDescent="0.2">
      <c r="A71" s="5">
        <v>46341</v>
      </c>
      <c r="B71" s="6" t="s">
        <v>11</v>
      </c>
      <c r="C71" s="7">
        <v>0</v>
      </c>
      <c r="D71" s="7">
        <v>0</v>
      </c>
      <c r="E71" s="8">
        <f>C71+D71</f>
        <v>0</v>
      </c>
      <c r="F71" s="9">
        <f>SUM(E6,E7,E8,E9,E12,E13,E14,E15,E18,E19,E20,E21,E22,E25,E26,E27,E28,E31,E32,E33,E34,E35,E38,E39,E40,E41,E44,E45,E46,E47,E50,E51,E52,E53,E54,E57,E58,E59,E60,E63,E64,E65,E66,E69,E70,E71)</f>
        <v>78286.5</v>
      </c>
    </row>
    <row r="72" spans="1:6" ht="15" x14ac:dyDescent="0.2">
      <c r="A72" s="5">
        <v>46348</v>
      </c>
      <c r="B72" s="6" t="s">
        <v>12</v>
      </c>
      <c r="C72" s="7">
        <v>0</v>
      </c>
      <c r="D72" s="7">
        <v>0</v>
      </c>
      <c r="E72" s="8">
        <f>C72+D72</f>
        <v>0</v>
      </c>
      <c r="F72" s="9">
        <f>SUM(E6,E7,E8,E9,E12,E13,E14,E15,E18,E19,E20,E21,E22,E25,E26,E27,E28,E31,E32,E33,E34,E35,E38,E39,E40,E41,E44,E45,E46,E47,E50,E51,E52,E53,E54,E57,E58,E59,E60,E63,E64,E65,E66,E69,E70,E71,E72)</f>
        <v>78286.5</v>
      </c>
    </row>
    <row r="73" spans="1:6" ht="15" x14ac:dyDescent="0.2">
      <c r="A73" s="5">
        <v>46355</v>
      </c>
      <c r="B73" s="6" t="s">
        <v>17</v>
      </c>
      <c r="C73" s="7">
        <v>0</v>
      </c>
      <c r="D73" s="7">
        <v>0</v>
      </c>
      <c r="E73" s="8">
        <f>C73+D73</f>
        <v>0</v>
      </c>
      <c r="F73" s="9">
        <f>SUM(E6,E7,E8,E9,E12,E13,E14,E15,E18,E19,E20,E21,E22,E25,E26,E27,E28,E31,E32,E33,E34,E35,E38,E39,E40,E41,E44,E45,E46,E47,E50,E51,E52,E53,E54,E57,E58,E59,E60,E63,E64,E65,E66,E69,E70,E71,E72,E73)</f>
        <v>78286.5</v>
      </c>
    </row>
    <row r="74" spans="1:6" ht="15" x14ac:dyDescent="0.2">
      <c r="A74" s="207" t="s">
        <v>34</v>
      </c>
      <c r="B74" s="207"/>
      <c r="C74" s="10">
        <f>SUM(C69:C73)</f>
        <v>0</v>
      </c>
      <c r="D74" s="10">
        <f>SUM(D69:D73)</f>
        <v>0</v>
      </c>
      <c r="E74" s="10">
        <f>SUM(E69:E73)</f>
        <v>0</v>
      </c>
      <c r="F74" s="10">
        <f>SUM(E6,E7,E8,E9,E12,E13,E14,E15,E18,E19,E20,E21,E22,E25,E26,E27,E28,E31,E32,E33,E34,E35,E38,E39,E40,E41,E44,E45,E46,E47,E50,E51,E52,E53,E54,E57,E58,E59,E60,E63,E64,E65,E66,E69,E70,E71,E72,E73)</f>
        <v>78286.5</v>
      </c>
    </row>
    <row r="75" spans="1:6" ht="15" x14ac:dyDescent="0.2">
      <c r="A75" s="206" t="s">
        <v>35</v>
      </c>
      <c r="B75" s="206"/>
      <c r="C75" s="206"/>
      <c r="D75" s="206"/>
      <c r="E75" s="206"/>
      <c r="F75" s="206"/>
    </row>
    <row r="76" spans="1:6" ht="15" x14ac:dyDescent="0.2">
      <c r="A76" s="5">
        <v>46362</v>
      </c>
      <c r="B76" s="6" t="s">
        <v>9</v>
      </c>
      <c r="C76" s="7">
        <v>0</v>
      </c>
      <c r="D76" s="7">
        <v>0</v>
      </c>
      <c r="E76" s="8">
        <f>C76+D76</f>
        <v>0</v>
      </c>
      <c r="F76" s="9">
        <f>SUM(E6,E7,E8,E9,E12,E13,E14,E15,E18,E19,E20,E21,E22,E25,E26,E27,E28,E31,E32,E33,E34,E35,E38,E39,E40,E41,E44,E45,E46,E47,E50,E51,E52,E53,E54,E57,E58,E59,E60,E63,E64,E65,E66,E69,E70,E71,E72,E73,E76)</f>
        <v>78286.5</v>
      </c>
    </row>
    <row r="77" spans="1:6" ht="15" x14ac:dyDescent="0.2">
      <c r="A77" s="5">
        <v>46369</v>
      </c>
      <c r="B77" s="6" t="s">
        <v>10</v>
      </c>
      <c r="C77" s="7">
        <v>0</v>
      </c>
      <c r="D77" s="7">
        <v>0</v>
      </c>
      <c r="E77" s="8">
        <f>C77+D77</f>
        <v>0</v>
      </c>
      <c r="F77" s="9">
        <f>SUM(E6,E7,E8,E9,E12,E13,E14,E15,E18,E19,E20,E21,E22,E25,E26,E27,E28,E31,E32,E33,E34,E35,E38,E39,E40,E41,E44,E45,E46,E47,E50,E51,E52,E53,E54,E57,E58,E59,E60,E63,E64,E65,E66,E69,E70,E71,E72,E73,E76,E77)</f>
        <v>78286.5</v>
      </c>
    </row>
    <row r="78" spans="1:6" ht="15" x14ac:dyDescent="0.2">
      <c r="A78" s="5">
        <v>46376</v>
      </c>
      <c r="B78" s="6" t="s">
        <v>11</v>
      </c>
      <c r="C78" s="7">
        <v>0</v>
      </c>
      <c r="D78" s="7">
        <v>0</v>
      </c>
      <c r="E78" s="8">
        <f>C78+D78</f>
        <v>0</v>
      </c>
      <c r="F78" s="9">
        <f>SUM(E6,E7,E8,E9,E12,E13,E14,E15,E18,E19,E20,E21,E22,E25,E26,E27,E28,E31,E32,E33,E34,E35,E38,E39,E40,E41,E44,E45,E46,E47,E50,E51,E52,E53,E54,E57,E58,E59,E60,E63,E64,E65,E66,E69,E70,E71,E72,E73,E76,E77,E78)</f>
        <v>78286.5</v>
      </c>
    </row>
    <row r="79" spans="1:6" ht="15" x14ac:dyDescent="0.2">
      <c r="A79" s="5">
        <v>46383</v>
      </c>
      <c r="B79" s="6" t="s">
        <v>12</v>
      </c>
      <c r="C79" s="7">
        <v>0</v>
      </c>
      <c r="D79" s="7">
        <v>0</v>
      </c>
      <c r="E79" s="8">
        <f>C79+D79</f>
        <v>0</v>
      </c>
      <c r="F79" s="9">
        <f>SUM(E6,E7,E8,E9,E12,E13,E14,E15,E18,E19,E20,E21,E22,E25,E26,E27,E28,E31,E32,E33,E34,E35,E38,E39,E40,E41,E44,E45,E46,E47,E50,E51,E52,E53,E54,E57,E58,E59,E60,E63,E64,E65,E66,E69,E70,E71,E72,E73,E76,E77,E78,E79)</f>
        <v>78286.5</v>
      </c>
    </row>
    <row r="80" spans="1:6" ht="15" x14ac:dyDescent="0.2">
      <c r="A80" s="207" t="s">
        <v>36</v>
      </c>
      <c r="B80" s="207"/>
      <c r="C80" s="10">
        <f>SUM(C76:C79)</f>
        <v>0</v>
      </c>
      <c r="D80" s="10">
        <f>SUM(D76:D79)</f>
        <v>0</v>
      </c>
      <c r="E80" s="10">
        <f>SUM(E76:E79)</f>
        <v>0</v>
      </c>
      <c r="F80" s="10">
        <f>SUM(E6,E7,E8,E9,E12,E13,E14,E15,E18,E19,E20,E21,E22,E25,E26,E27,E28,E31,E32,E33,E34,E35,E38,E39,E40,E41,E44,E45,E46,E47,E50,E51,E52,E53,E54,E57,E58,E59,E60,E63,E64,E65,E66,E69,E70,E71,E72,E73,E76,E77,E78,E79)</f>
        <v>78286.5</v>
      </c>
    </row>
    <row r="81" spans="1:6" ht="10.5" customHeight="1" x14ac:dyDescent="0.2">
      <c r="A81" s="208" t="s">
        <v>37</v>
      </c>
      <c r="B81" s="208"/>
      <c r="C81" s="208"/>
      <c r="D81" s="208"/>
      <c r="E81" s="11">
        <f>SUM(E6,E7,E8,E9,E12,E13,E14,E15,E18,E19,E20,E21,E22,E25,E26,E27,E28,E31,E32,E33,E34,E35,E38,E39,E40,E41,E44,E45,E46,E47,E50,E51,E52,E53,E54,E57,E58,E59,E60,E63,E64,E65,E66,E69,E70,E71,E72,E73,E76,E77,E78,E79)</f>
        <v>78286.5</v>
      </c>
      <c r="F81" s="11">
        <f>E81</f>
        <v>78286.5</v>
      </c>
    </row>
  </sheetData>
  <mergeCells count="27">
    <mergeCell ref="A80:B80"/>
    <mergeCell ref="A81:D81"/>
    <mergeCell ref="A62:F62"/>
    <mergeCell ref="A67:B67"/>
    <mergeCell ref="A68:F68"/>
    <mergeCell ref="A74:B74"/>
    <mergeCell ref="A75:F75"/>
    <mergeCell ref="A48:B48"/>
    <mergeCell ref="A49:F49"/>
    <mergeCell ref="A55:B55"/>
    <mergeCell ref="A56:F56"/>
    <mergeCell ref="A61:B61"/>
    <mergeCell ref="A30:F30"/>
    <mergeCell ref="A36:B36"/>
    <mergeCell ref="A37:F37"/>
    <mergeCell ref="A42:B42"/>
    <mergeCell ref="A43:F43"/>
    <mergeCell ref="A16:B16"/>
    <mergeCell ref="A17:F17"/>
    <mergeCell ref="A23:B23"/>
    <mergeCell ref="A24:F24"/>
    <mergeCell ref="A29:B29"/>
    <mergeCell ref="A1:F1"/>
    <mergeCell ref="A2:F2"/>
    <mergeCell ref="A5:F5"/>
    <mergeCell ref="A10:B10"/>
    <mergeCell ref="A11:F1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4"/>
  <sheetViews>
    <sheetView tabSelected="1" topLeftCell="A4" zoomScaleNormal="100" workbookViewId="0">
      <selection activeCell="AD7" sqref="AD7:AD12"/>
    </sheetView>
  </sheetViews>
  <sheetFormatPr defaultColWidth="8.7421875" defaultRowHeight="15" x14ac:dyDescent="0.2"/>
  <cols>
    <col min="1" max="1" width="22.05859375" customWidth="1"/>
    <col min="2" max="2" width="16.140625" customWidth="1"/>
    <col min="3" max="4" width="11.02734375" hidden="1" customWidth="1"/>
    <col min="5" max="5" width="0.94140625" customWidth="1"/>
    <col min="6" max="6" width="5.109375" hidden="1" customWidth="1"/>
    <col min="7" max="7" width="8.875" hidden="1" customWidth="1"/>
    <col min="8" max="8" width="0.53515625" customWidth="1"/>
    <col min="9" max="9" width="0.40234375" hidden="1" customWidth="1"/>
    <col min="10" max="11" width="6.1875" hidden="1" customWidth="1"/>
    <col min="12" max="12" width="9.953125" hidden="1" customWidth="1"/>
    <col min="13" max="17" width="6.72265625" bestFit="1" customWidth="1"/>
    <col min="18" max="18" width="15.73828125" customWidth="1"/>
    <col min="19" max="19" width="6.9921875" customWidth="1"/>
    <col min="20" max="20" width="7.26171875" customWidth="1"/>
    <col min="21" max="22" width="8.47265625" customWidth="1"/>
    <col min="23" max="23" width="6.859375" bestFit="1" customWidth="1"/>
    <col min="24" max="28" width="6.45703125" bestFit="1" customWidth="1"/>
    <col min="29" max="29" width="7.6640625" customWidth="1"/>
    <col min="30" max="33" width="6.05078125" bestFit="1" customWidth="1"/>
    <col min="34" max="34" width="6.3203125" bestFit="1" customWidth="1"/>
    <col min="35" max="38" width="5.51171875" bestFit="1" customWidth="1"/>
    <col min="39" max="44" width="6.3203125" bestFit="1" customWidth="1"/>
    <col min="45" max="45" width="7.6640625" bestFit="1" customWidth="1"/>
    <col min="46" max="49" width="6.3203125" bestFit="1" customWidth="1"/>
    <col min="50" max="50" width="11.02734375" bestFit="1" customWidth="1"/>
    <col min="51" max="54" width="5.91796875" bestFit="1" customWidth="1"/>
    <col min="55" max="55" width="9.01171875" bestFit="1" customWidth="1"/>
    <col min="56" max="60" width="6.3203125" bestFit="1" customWidth="1"/>
    <col min="61" max="61" width="10.35546875" bestFit="1" customWidth="1"/>
    <col min="62" max="65" width="6.3203125" bestFit="1" customWidth="1"/>
    <col min="66" max="66" width="10.22265625" bestFit="1" customWidth="1"/>
    <col min="67" max="67" width="14.9296875" customWidth="1"/>
  </cols>
  <sheetData>
    <row r="1" spans="1:67" ht="24.75" customHeight="1" x14ac:dyDescent="0.2">
      <c r="A1" s="201" t="s">
        <v>38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</row>
    <row r="2" spans="1:67" ht="21.75" customHeight="1" x14ac:dyDescent="0.2">
      <c r="A2" s="202" t="s">
        <v>39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2"/>
      <c r="BO2" s="202"/>
    </row>
    <row r="3" spans="1:67" ht="5.25" customHeight="1" x14ac:dyDescent="0.2"/>
    <row r="4" spans="1:67" ht="19.5" customHeight="1" x14ac:dyDescent="0.2">
      <c r="A4" s="1" t="s">
        <v>40</v>
      </c>
      <c r="B4" s="12"/>
      <c r="C4" s="203" t="s">
        <v>41</v>
      </c>
      <c r="D4" s="203"/>
      <c r="E4" s="203"/>
      <c r="F4" s="203"/>
      <c r="G4" s="203"/>
      <c r="H4" s="203" t="s">
        <v>42</v>
      </c>
      <c r="I4" s="203"/>
      <c r="J4" s="203"/>
      <c r="K4" s="203"/>
      <c r="L4" s="203"/>
      <c r="M4" s="203" t="s">
        <v>43</v>
      </c>
      <c r="N4" s="203"/>
      <c r="O4" s="203"/>
      <c r="P4" s="203"/>
      <c r="Q4" s="203"/>
      <c r="R4" s="203"/>
      <c r="S4" s="203" t="s">
        <v>44</v>
      </c>
      <c r="T4" s="203"/>
      <c r="U4" s="203"/>
      <c r="V4" s="203"/>
      <c r="W4" s="203"/>
      <c r="X4" s="203" t="s">
        <v>45</v>
      </c>
      <c r="Y4" s="203"/>
      <c r="Z4" s="203"/>
      <c r="AA4" s="203"/>
      <c r="AB4" s="203"/>
      <c r="AC4" s="203"/>
      <c r="AD4" s="203" t="s">
        <v>46</v>
      </c>
      <c r="AE4" s="203"/>
      <c r="AF4" s="203"/>
      <c r="AG4" s="203"/>
      <c r="AH4" s="203"/>
      <c r="AI4" s="203" t="s">
        <v>47</v>
      </c>
      <c r="AJ4" s="203"/>
      <c r="AK4" s="203"/>
      <c r="AL4" s="203"/>
      <c r="AM4" s="203"/>
      <c r="AN4" s="203" t="s">
        <v>48</v>
      </c>
      <c r="AO4" s="203"/>
      <c r="AP4" s="203"/>
      <c r="AQ4" s="203"/>
      <c r="AR4" s="203"/>
      <c r="AS4" s="203"/>
      <c r="AT4" s="203" t="s">
        <v>49</v>
      </c>
      <c r="AU4" s="203"/>
      <c r="AV4" s="203"/>
      <c r="AW4" s="203"/>
      <c r="AX4" s="203"/>
      <c r="AY4" s="203" t="s">
        <v>50</v>
      </c>
      <c r="AZ4" s="203"/>
      <c r="BA4" s="203"/>
      <c r="BB4" s="203"/>
      <c r="BC4" s="203"/>
      <c r="BD4" s="203" t="s">
        <v>51</v>
      </c>
      <c r="BE4" s="203"/>
      <c r="BF4" s="203"/>
      <c r="BG4" s="203"/>
      <c r="BH4" s="203"/>
      <c r="BI4" s="203"/>
      <c r="BJ4" s="203" t="s">
        <v>52</v>
      </c>
      <c r="BK4" s="203"/>
      <c r="BL4" s="203"/>
      <c r="BM4" s="203"/>
      <c r="BN4" s="203"/>
      <c r="BO4" s="1" t="s">
        <v>53</v>
      </c>
    </row>
    <row r="5" spans="1:67" ht="24" customHeight="1" x14ac:dyDescent="0.2">
      <c r="A5" s="1" t="s">
        <v>54</v>
      </c>
      <c r="B5" s="12"/>
      <c r="C5" s="13">
        <v>46026</v>
      </c>
      <c r="D5" s="13">
        <v>46033</v>
      </c>
      <c r="E5" s="13">
        <v>46040</v>
      </c>
      <c r="F5" s="13">
        <v>46047</v>
      </c>
      <c r="G5" s="14" t="s">
        <v>41</v>
      </c>
      <c r="H5" s="13">
        <v>46054</v>
      </c>
      <c r="I5" s="13">
        <v>46061</v>
      </c>
      <c r="J5" s="13">
        <v>46068</v>
      </c>
      <c r="K5" s="13">
        <v>46075</v>
      </c>
      <c r="L5" s="14" t="s">
        <v>42</v>
      </c>
      <c r="M5" s="13">
        <v>46082</v>
      </c>
      <c r="N5" s="13">
        <v>46089</v>
      </c>
      <c r="O5" s="13">
        <v>46096</v>
      </c>
      <c r="P5" s="13">
        <v>46103</v>
      </c>
      <c r="Q5" s="13">
        <v>46110</v>
      </c>
      <c r="R5" s="14" t="s">
        <v>43</v>
      </c>
      <c r="S5" s="13">
        <v>46117</v>
      </c>
      <c r="T5" s="13">
        <v>46124</v>
      </c>
      <c r="U5" s="13">
        <v>46131</v>
      </c>
      <c r="V5" s="13">
        <v>46138</v>
      </c>
      <c r="W5" s="14" t="s">
        <v>44</v>
      </c>
      <c r="X5" s="13">
        <v>46145</v>
      </c>
      <c r="Y5" s="13">
        <v>46152</v>
      </c>
      <c r="Z5" s="13">
        <v>46159</v>
      </c>
      <c r="AA5" s="13">
        <v>46166</v>
      </c>
      <c r="AB5" s="13">
        <v>46173</v>
      </c>
      <c r="AC5" s="14" t="s">
        <v>45</v>
      </c>
      <c r="AD5" s="13">
        <v>46180</v>
      </c>
      <c r="AE5" s="13">
        <v>46187</v>
      </c>
      <c r="AF5" s="13">
        <v>46194</v>
      </c>
      <c r="AG5" s="13">
        <v>46201</v>
      </c>
      <c r="AH5" s="14" t="s">
        <v>46</v>
      </c>
      <c r="AI5" s="13">
        <v>46208</v>
      </c>
      <c r="AJ5" s="13">
        <v>46215</v>
      </c>
      <c r="AK5" s="13">
        <v>46222</v>
      </c>
      <c r="AL5" s="13">
        <v>46229</v>
      </c>
      <c r="AM5" s="14" t="s">
        <v>47</v>
      </c>
      <c r="AN5" s="13">
        <v>46236</v>
      </c>
      <c r="AO5" s="13">
        <v>46243</v>
      </c>
      <c r="AP5" s="13">
        <v>46250</v>
      </c>
      <c r="AQ5" s="13">
        <v>46257</v>
      </c>
      <c r="AR5" s="13">
        <v>46264</v>
      </c>
      <c r="AS5" s="14" t="s">
        <v>48</v>
      </c>
      <c r="AT5" s="13">
        <v>46271</v>
      </c>
      <c r="AU5" s="13">
        <v>46278</v>
      </c>
      <c r="AV5" s="13">
        <v>46285</v>
      </c>
      <c r="AW5" s="13">
        <v>46292</v>
      </c>
      <c r="AX5" s="14" t="s">
        <v>49</v>
      </c>
      <c r="AY5" s="13">
        <v>46299</v>
      </c>
      <c r="AZ5" s="13">
        <v>46306</v>
      </c>
      <c r="BA5" s="13">
        <v>46313</v>
      </c>
      <c r="BB5" s="13">
        <v>46320</v>
      </c>
      <c r="BC5" s="14" t="s">
        <v>50</v>
      </c>
      <c r="BD5" s="13">
        <v>46327</v>
      </c>
      <c r="BE5" s="13">
        <v>46334</v>
      </c>
      <c r="BF5" s="13">
        <v>46341</v>
      </c>
      <c r="BG5" s="13">
        <v>46348</v>
      </c>
      <c r="BH5" s="13">
        <v>46355</v>
      </c>
      <c r="BI5" s="14" t="s">
        <v>51</v>
      </c>
      <c r="BJ5" s="13">
        <v>46362</v>
      </c>
      <c r="BK5" s="13">
        <v>46369</v>
      </c>
      <c r="BL5" s="13">
        <v>46376</v>
      </c>
      <c r="BM5" s="13">
        <v>46383</v>
      </c>
      <c r="BN5" s="14" t="s">
        <v>52</v>
      </c>
      <c r="BO5" s="1" t="s">
        <v>55</v>
      </c>
    </row>
    <row r="6" spans="1:67" ht="19.5" customHeight="1" x14ac:dyDescent="0.2">
      <c r="A6" s="1" t="s">
        <v>56</v>
      </c>
      <c r="B6" s="12"/>
      <c r="C6" s="15" t="s">
        <v>57</v>
      </c>
      <c r="D6" s="15" t="s">
        <v>58</v>
      </c>
      <c r="E6" s="15" t="s">
        <v>59</v>
      </c>
      <c r="F6" s="15" t="s">
        <v>60</v>
      </c>
      <c r="G6" s="14" t="s">
        <v>61</v>
      </c>
      <c r="H6" s="15" t="s">
        <v>57</v>
      </c>
      <c r="I6" s="15" t="s">
        <v>58</v>
      </c>
      <c r="J6" s="15" t="s">
        <v>59</v>
      </c>
      <c r="K6" s="15" t="s">
        <v>60</v>
      </c>
      <c r="L6" s="14" t="s">
        <v>61</v>
      </c>
      <c r="M6" s="15" t="s">
        <v>57</v>
      </c>
      <c r="N6" s="15" t="s">
        <v>58</v>
      </c>
      <c r="O6" s="15" t="s">
        <v>59</v>
      </c>
      <c r="P6" s="15" t="s">
        <v>60</v>
      </c>
      <c r="Q6" s="15" t="s">
        <v>62</v>
      </c>
      <c r="R6" s="14" t="s">
        <v>61</v>
      </c>
      <c r="S6" s="15" t="s">
        <v>57</v>
      </c>
      <c r="T6" s="15" t="s">
        <v>58</v>
      </c>
      <c r="U6" s="15" t="s">
        <v>59</v>
      </c>
      <c r="V6" s="15" t="s">
        <v>60</v>
      </c>
      <c r="W6" s="14" t="s">
        <v>61</v>
      </c>
      <c r="X6" s="15" t="s">
        <v>57</v>
      </c>
      <c r="Y6" s="15" t="s">
        <v>58</v>
      </c>
      <c r="Z6" s="15" t="s">
        <v>59</v>
      </c>
      <c r="AA6" s="15" t="s">
        <v>60</v>
      </c>
      <c r="AB6" s="15" t="s">
        <v>62</v>
      </c>
      <c r="AC6" s="14" t="s">
        <v>61</v>
      </c>
      <c r="AD6" s="15" t="s">
        <v>57</v>
      </c>
      <c r="AE6" s="15" t="s">
        <v>58</v>
      </c>
      <c r="AF6" s="15" t="s">
        <v>59</v>
      </c>
      <c r="AG6" s="15" t="s">
        <v>60</v>
      </c>
      <c r="AH6" s="14" t="s">
        <v>61</v>
      </c>
      <c r="AI6" s="15" t="s">
        <v>57</v>
      </c>
      <c r="AJ6" s="15" t="s">
        <v>58</v>
      </c>
      <c r="AK6" s="15" t="s">
        <v>59</v>
      </c>
      <c r="AL6" s="15" t="s">
        <v>60</v>
      </c>
      <c r="AM6" s="14" t="s">
        <v>61</v>
      </c>
      <c r="AN6" s="15" t="s">
        <v>57</v>
      </c>
      <c r="AO6" s="15" t="s">
        <v>58</v>
      </c>
      <c r="AP6" s="15" t="s">
        <v>59</v>
      </c>
      <c r="AQ6" s="15" t="s">
        <v>60</v>
      </c>
      <c r="AR6" s="15" t="s">
        <v>62</v>
      </c>
      <c r="AS6" s="14" t="s">
        <v>61</v>
      </c>
      <c r="AT6" s="15" t="s">
        <v>57</v>
      </c>
      <c r="AU6" s="15" t="s">
        <v>58</v>
      </c>
      <c r="AV6" s="15" t="s">
        <v>59</v>
      </c>
      <c r="AW6" s="15" t="s">
        <v>60</v>
      </c>
      <c r="AX6" s="14" t="s">
        <v>61</v>
      </c>
      <c r="AY6" s="15" t="s">
        <v>57</v>
      </c>
      <c r="AZ6" s="15" t="s">
        <v>58</v>
      </c>
      <c r="BA6" s="15" t="s">
        <v>59</v>
      </c>
      <c r="BB6" s="15" t="s">
        <v>60</v>
      </c>
      <c r="BC6" s="14" t="s">
        <v>61</v>
      </c>
      <c r="BD6" s="15" t="s">
        <v>57</v>
      </c>
      <c r="BE6" s="15" t="s">
        <v>58</v>
      </c>
      <c r="BF6" s="15" t="s">
        <v>59</v>
      </c>
      <c r="BG6" s="15" t="s">
        <v>60</v>
      </c>
      <c r="BH6" s="15" t="s">
        <v>62</v>
      </c>
      <c r="BI6" s="14" t="s">
        <v>61</v>
      </c>
      <c r="BJ6" s="15" t="s">
        <v>57</v>
      </c>
      <c r="BK6" s="15" t="s">
        <v>58</v>
      </c>
      <c r="BL6" s="15" t="s">
        <v>59</v>
      </c>
      <c r="BM6" s="15" t="s">
        <v>60</v>
      </c>
      <c r="BN6" s="14" t="s">
        <v>61</v>
      </c>
      <c r="BO6" s="1" t="s">
        <v>61</v>
      </c>
    </row>
    <row r="7" spans="1:67" ht="21.75" customHeight="1" x14ac:dyDescent="0.2">
      <c r="A7" s="197" t="s">
        <v>63</v>
      </c>
      <c r="B7" s="17" t="s">
        <v>296</v>
      </c>
      <c r="C7" s="7">
        <v>0</v>
      </c>
      <c r="D7" s="7">
        <v>0</v>
      </c>
      <c r="E7" s="7">
        <v>0</v>
      </c>
      <c r="F7" s="7">
        <v>0</v>
      </c>
      <c r="G7" s="10">
        <f t="shared" ref="G7:G13" si="0">SUM(C7:F7)</f>
        <v>0</v>
      </c>
      <c r="H7" s="7">
        <v>0</v>
      </c>
      <c r="I7" s="7">
        <v>0</v>
      </c>
      <c r="J7" s="7">
        <v>0</v>
      </c>
      <c r="K7" s="7">
        <v>0</v>
      </c>
      <c r="L7" s="10">
        <f t="shared" ref="L7:L13" si="1">SUM(H7:K7)</f>
        <v>0</v>
      </c>
      <c r="M7" s="7"/>
      <c r="N7" s="7">
        <v>2500</v>
      </c>
      <c r="O7" s="7">
        <v>2500</v>
      </c>
      <c r="P7" s="7">
        <v>2500</v>
      </c>
      <c r="Q7" s="7">
        <v>2500</v>
      </c>
      <c r="R7" s="10">
        <f>SUM(M7:Q7)</f>
        <v>10000</v>
      </c>
      <c r="S7" s="7">
        <v>2500</v>
      </c>
      <c r="T7" s="7">
        <v>2500</v>
      </c>
      <c r="U7" s="7">
        <v>2500</v>
      </c>
      <c r="V7" s="7">
        <v>2500</v>
      </c>
      <c r="W7" s="10">
        <f t="shared" ref="W7:W13" si="2">SUM(S7:V7)</f>
        <v>10000</v>
      </c>
      <c r="X7" s="7">
        <v>2500</v>
      </c>
      <c r="Y7" s="7">
        <v>2500</v>
      </c>
      <c r="Z7" s="7">
        <v>2500</v>
      </c>
      <c r="AA7" s="7">
        <v>2500</v>
      </c>
      <c r="AB7" s="7">
        <v>2500</v>
      </c>
      <c r="AC7" s="10">
        <f t="shared" ref="AC7:AC13" si="3">SUM(X7:AB7)</f>
        <v>12500</v>
      </c>
      <c r="AD7" s="7">
        <v>2500</v>
      </c>
      <c r="AE7" s="7">
        <v>0</v>
      </c>
      <c r="AF7" s="7">
        <v>0</v>
      </c>
      <c r="AG7" s="7">
        <v>0</v>
      </c>
      <c r="AH7" s="10">
        <f t="shared" ref="AH7:AH13" si="4">SUM(AD7:AG7)</f>
        <v>2500</v>
      </c>
      <c r="AI7" s="7">
        <v>0</v>
      </c>
      <c r="AJ7" s="7">
        <v>0</v>
      </c>
      <c r="AK7" s="7">
        <v>0</v>
      </c>
      <c r="AL7" s="7">
        <v>0</v>
      </c>
      <c r="AM7" s="10">
        <f t="shared" ref="AM7:AM13" si="5">SUM(AI7:AL7)</f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10">
        <f t="shared" ref="AS7:AS13" si="6">SUM(AN7:AR7)</f>
        <v>0</v>
      </c>
      <c r="AT7" s="7">
        <v>0</v>
      </c>
      <c r="AU7" s="7">
        <v>0</v>
      </c>
      <c r="AV7" s="7">
        <v>0</v>
      </c>
      <c r="AW7" s="7">
        <v>0</v>
      </c>
      <c r="AX7" s="10">
        <f t="shared" ref="AX7:AX13" si="7">SUM(AT7:AW7)</f>
        <v>0</v>
      </c>
      <c r="AY7" s="7">
        <v>0</v>
      </c>
      <c r="AZ7" s="7">
        <v>0</v>
      </c>
      <c r="BA7" s="7">
        <v>0</v>
      </c>
      <c r="BB7" s="7">
        <v>0</v>
      </c>
      <c r="BC7" s="10">
        <f t="shared" ref="BC7:BC13" si="8">SUM(AY7:BB7)</f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10">
        <f t="shared" ref="BI7:BI13" si="9">SUM(BD7:BH7)</f>
        <v>0</v>
      </c>
      <c r="BJ7" s="7">
        <v>0</v>
      </c>
      <c r="BK7" s="7">
        <v>0</v>
      </c>
      <c r="BL7" s="7">
        <v>0</v>
      </c>
      <c r="BM7" s="7">
        <v>0</v>
      </c>
      <c r="BN7" s="10">
        <f t="shared" ref="BN7:BN13" si="10">SUM(BJ7:BM7)</f>
        <v>0</v>
      </c>
      <c r="BO7" s="10">
        <f t="shared" ref="BO7:BO13" si="11">SUM(C7,D7,E7,F7,H7,I7,J7,K7,M7,N7,O7,P7,Q7,S7,T7,U7,V7,X7,Y7,Z7,AA7,AB7,AD7,AE7,AF7,AG7,AI7,AJ7,AK7,AL7,AN7,AO7,AP7,AQ7,AR7,AT7,AU7,AV7,AW7,AY7,AZ7,BA7,BB7,BD7,BE7,BF7,BG7,BH7,BJ7,BK7,BL7,BM7)</f>
        <v>35000</v>
      </c>
    </row>
    <row r="8" spans="1:67" ht="21.75" customHeight="1" x14ac:dyDescent="0.2">
      <c r="A8" s="197" t="s">
        <v>64</v>
      </c>
      <c r="B8" s="17" t="s">
        <v>296</v>
      </c>
      <c r="C8" s="7">
        <v>0</v>
      </c>
      <c r="D8" s="7">
        <v>0</v>
      </c>
      <c r="E8" s="7">
        <v>0</v>
      </c>
      <c r="F8" s="7">
        <v>0</v>
      </c>
      <c r="G8" s="10">
        <f t="shared" si="0"/>
        <v>0</v>
      </c>
      <c r="H8" s="7">
        <v>0</v>
      </c>
      <c r="I8" s="7">
        <v>0</v>
      </c>
      <c r="J8" s="7">
        <v>0</v>
      </c>
      <c r="K8" s="7">
        <v>0</v>
      </c>
      <c r="L8" s="10">
        <f t="shared" si="1"/>
        <v>0</v>
      </c>
      <c r="M8" s="7"/>
      <c r="N8" s="7">
        <v>2500</v>
      </c>
      <c r="O8" s="7">
        <v>2500</v>
      </c>
      <c r="P8" s="7">
        <v>2500</v>
      </c>
      <c r="Q8" s="7">
        <v>2500</v>
      </c>
      <c r="R8" s="10">
        <f t="shared" ref="R8:R13" si="12">SUM(M8:Q8)</f>
        <v>10000</v>
      </c>
      <c r="S8" s="7">
        <v>2500</v>
      </c>
      <c r="T8" s="7">
        <v>2500</v>
      </c>
      <c r="U8" s="7">
        <v>2500</v>
      </c>
      <c r="V8" s="7">
        <v>2500</v>
      </c>
      <c r="W8" s="10">
        <f t="shared" si="2"/>
        <v>10000</v>
      </c>
      <c r="X8" s="7">
        <v>2500</v>
      </c>
      <c r="Y8" s="7">
        <v>2500</v>
      </c>
      <c r="Z8" s="7">
        <v>2500</v>
      </c>
      <c r="AA8" s="7">
        <v>2500</v>
      </c>
      <c r="AB8" s="7">
        <v>2500</v>
      </c>
      <c r="AC8" s="10">
        <f t="shared" si="3"/>
        <v>12500</v>
      </c>
      <c r="AD8" s="7">
        <v>2500</v>
      </c>
      <c r="AE8" s="7">
        <v>0</v>
      </c>
      <c r="AF8" s="7">
        <v>0</v>
      </c>
      <c r="AG8" s="7">
        <v>0</v>
      </c>
      <c r="AH8" s="10">
        <f t="shared" si="4"/>
        <v>2500</v>
      </c>
      <c r="AI8" s="7">
        <v>0</v>
      </c>
      <c r="AJ8" s="7">
        <v>0</v>
      </c>
      <c r="AK8" s="7">
        <v>0</v>
      </c>
      <c r="AL8" s="7">
        <v>0</v>
      </c>
      <c r="AM8" s="10">
        <f t="shared" si="5"/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10">
        <f t="shared" si="6"/>
        <v>0</v>
      </c>
      <c r="AT8" s="7">
        <v>0</v>
      </c>
      <c r="AU8" s="7">
        <v>0</v>
      </c>
      <c r="AV8" s="7">
        <v>0</v>
      </c>
      <c r="AW8" s="7">
        <v>0</v>
      </c>
      <c r="AX8" s="10">
        <f t="shared" si="7"/>
        <v>0</v>
      </c>
      <c r="AY8" s="7">
        <v>0</v>
      </c>
      <c r="AZ8" s="7">
        <v>0</v>
      </c>
      <c r="BA8" s="7">
        <v>0</v>
      </c>
      <c r="BB8" s="7">
        <v>0</v>
      </c>
      <c r="BC8" s="10">
        <f t="shared" si="8"/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10">
        <f t="shared" si="9"/>
        <v>0</v>
      </c>
      <c r="BJ8" s="7">
        <v>0</v>
      </c>
      <c r="BK8" s="7">
        <v>0</v>
      </c>
      <c r="BL8" s="7">
        <v>0</v>
      </c>
      <c r="BM8" s="7">
        <v>0</v>
      </c>
      <c r="BN8" s="10">
        <f t="shared" si="10"/>
        <v>0</v>
      </c>
      <c r="BO8" s="10">
        <f t="shared" si="11"/>
        <v>35000</v>
      </c>
    </row>
    <row r="9" spans="1:67" ht="21.75" customHeight="1" x14ac:dyDescent="0.2">
      <c r="A9" s="197" t="s">
        <v>65</v>
      </c>
      <c r="B9" s="17" t="s">
        <v>296</v>
      </c>
      <c r="C9" s="7">
        <v>0</v>
      </c>
      <c r="D9" s="7">
        <v>0</v>
      </c>
      <c r="E9" s="7">
        <v>0</v>
      </c>
      <c r="F9" s="7">
        <v>0</v>
      </c>
      <c r="G9" s="10">
        <f t="shared" si="0"/>
        <v>0</v>
      </c>
      <c r="H9" s="7">
        <v>0</v>
      </c>
      <c r="I9" s="7">
        <v>0</v>
      </c>
      <c r="J9" s="7">
        <v>0</v>
      </c>
      <c r="K9" s="7">
        <v>0</v>
      </c>
      <c r="L9" s="10">
        <f t="shared" si="1"/>
        <v>0</v>
      </c>
      <c r="M9" s="7"/>
      <c r="N9" s="7">
        <v>2500</v>
      </c>
      <c r="O9" s="7">
        <v>2500</v>
      </c>
      <c r="P9" s="7">
        <v>2500</v>
      </c>
      <c r="Q9" s="7">
        <v>2500</v>
      </c>
      <c r="R9" s="10">
        <f t="shared" si="12"/>
        <v>10000</v>
      </c>
      <c r="S9" s="7">
        <v>2500</v>
      </c>
      <c r="T9" s="7">
        <v>0</v>
      </c>
      <c r="U9" s="7">
        <v>0</v>
      </c>
      <c r="V9" s="7">
        <v>0</v>
      </c>
      <c r="W9" s="10">
        <f t="shared" si="2"/>
        <v>2500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10">
        <f t="shared" si="3"/>
        <v>0</v>
      </c>
      <c r="AD9" s="7">
        <v>0</v>
      </c>
      <c r="AE9" s="7">
        <v>0</v>
      </c>
      <c r="AF9" s="7">
        <v>0</v>
      </c>
      <c r="AG9" s="7">
        <v>0</v>
      </c>
      <c r="AH9" s="10">
        <f t="shared" si="4"/>
        <v>0</v>
      </c>
      <c r="AI9" s="7">
        <v>0</v>
      </c>
      <c r="AJ9" s="7">
        <v>0</v>
      </c>
      <c r="AK9" s="7">
        <v>0</v>
      </c>
      <c r="AL9" s="7">
        <v>0</v>
      </c>
      <c r="AM9" s="10">
        <f t="shared" si="5"/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10">
        <f t="shared" si="6"/>
        <v>0</v>
      </c>
      <c r="AT9" s="7">
        <v>0</v>
      </c>
      <c r="AU9" s="7">
        <v>0</v>
      </c>
      <c r="AV9" s="7">
        <v>0</v>
      </c>
      <c r="AW9" s="7">
        <v>0</v>
      </c>
      <c r="AX9" s="10">
        <f t="shared" si="7"/>
        <v>0</v>
      </c>
      <c r="AY9" s="7">
        <v>0</v>
      </c>
      <c r="AZ9" s="7">
        <v>0</v>
      </c>
      <c r="BA9" s="7">
        <v>0</v>
      </c>
      <c r="BB9" s="7">
        <v>0</v>
      </c>
      <c r="BC9" s="10">
        <f t="shared" si="8"/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10">
        <f t="shared" si="9"/>
        <v>0</v>
      </c>
      <c r="BJ9" s="7">
        <v>0</v>
      </c>
      <c r="BK9" s="7">
        <v>0</v>
      </c>
      <c r="BL9" s="7">
        <v>0</v>
      </c>
      <c r="BM9" s="7">
        <v>0</v>
      </c>
      <c r="BN9" s="10">
        <f t="shared" si="10"/>
        <v>0</v>
      </c>
      <c r="BO9" s="10">
        <f t="shared" si="11"/>
        <v>12500</v>
      </c>
    </row>
    <row r="10" spans="1:67" ht="21.75" customHeight="1" x14ac:dyDescent="0.2">
      <c r="A10" s="197" t="s">
        <v>66</v>
      </c>
      <c r="B10" s="17" t="s">
        <v>296</v>
      </c>
      <c r="C10" s="7">
        <v>0</v>
      </c>
      <c r="D10" s="7">
        <v>0</v>
      </c>
      <c r="E10" s="7">
        <v>0</v>
      </c>
      <c r="F10" s="7">
        <v>0</v>
      </c>
      <c r="G10" s="10">
        <f t="shared" si="0"/>
        <v>0</v>
      </c>
      <c r="H10" s="7">
        <v>0</v>
      </c>
      <c r="I10" s="7">
        <v>0</v>
      </c>
      <c r="J10" s="7">
        <v>0</v>
      </c>
      <c r="K10" s="7">
        <v>0</v>
      </c>
      <c r="L10" s="10">
        <f t="shared" si="1"/>
        <v>0</v>
      </c>
      <c r="M10" s="7"/>
      <c r="N10" s="7">
        <v>4200</v>
      </c>
      <c r="O10" s="7">
        <v>4200</v>
      </c>
      <c r="P10" s="7">
        <v>4200</v>
      </c>
      <c r="Q10" s="7">
        <v>4200</v>
      </c>
      <c r="R10" s="10">
        <f t="shared" si="12"/>
        <v>16800</v>
      </c>
      <c r="S10" s="7">
        <v>4200</v>
      </c>
      <c r="T10" s="7">
        <v>4200</v>
      </c>
      <c r="U10" s="7">
        <v>4200</v>
      </c>
      <c r="V10" s="7">
        <v>4200</v>
      </c>
      <c r="W10" s="10">
        <f t="shared" si="2"/>
        <v>16800</v>
      </c>
      <c r="X10" s="7">
        <v>4200</v>
      </c>
      <c r="Y10" s="7">
        <v>4200</v>
      </c>
      <c r="Z10" s="7">
        <v>4200</v>
      </c>
      <c r="AA10" s="7">
        <v>4200</v>
      </c>
      <c r="AB10" s="7">
        <v>4200</v>
      </c>
      <c r="AC10" s="10">
        <f t="shared" si="3"/>
        <v>21000</v>
      </c>
      <c r="AD10" s="7">
        <v>4200</v>
      </c>
      <c r="AE10" s="7">
        <v>0</v>
      </c>
      <c r="AF10" s="7">
        <v>0</v>
      </c>
      <c r="AG10" s="7">
        <v>0</v>
      </c>
      <c r="AH10" s="10">
        <f t="shared" si="4"/>
        <v>4200</v>
      </c>
      <c r="AI10" s="7">
        <v>0</v>
      </c>
      <c r="AJ10" s="7">
        <v>0</v>
      </c>
      <c r="AK10" s="7">
        <v>0</v>
      </c>
      <c r="AL10" s="7">
        <v>0</v>
      </c>
      <c r="AM10" s="10">
        <f t="shared" si="5"/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10">
        <f t="shared" si="6"/>
        <v>0</v>
      </c>
      <c r="AT10" s="7">
        <v>0</v>
      </c>
      <c r="AU10" s="7">
        <v>0</v>
      </c>
      <c r="AV10" s="7">
        <v>0</v>
      </c>
      <c r="AW10" s="7">
        <v>0</v>
      </c>
      <c r="AX10" s="10">
        <f t="shared" si="7"/>
        <v>0</v>
      </c>
      <c r="AY10" s="7">
        <v>0</v>
      </c>
      <c r="AZ10" s="7">
        <v>0</v>
      </c>
      <c r="BA10" s="7">
        <v>0</v>
      </c>
      <c r="BB10" s="7">
        <v>0</v>
      </c>
      <c r="BC10" s="10">
        <f t="shared" si="8"/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10">
        <f t="shared" si="9"/>
        <v>0</v>
      </c>
      <c r="BJ10" s="7">
        <v>0</v>
      </c>
      <c r="BK10" s="7">
        <v>0</v>
      </c>
      <c r="BL10" s="7">
        <v>0</v>
      </c>
      <c r="BM10" s="7">
        <v>0</v>
      </c>
      <c r="BN10" s="10">
        <f t="shared" si="10"/>
        <v>0</v>
      </c>
      <c r="BO10" s="10">
        <f t="shared" si="11"/>
        <v>58800</v>
      </c>
    </row>
    <row r="11" spans="1:67" ht="42" customHeight="1" x14ac:dyDescent="0.2">
      <c r="A11" s="18" t="s">
        <v>259</v>
      </c>
      <c r="B11" s="183"/>
      <c r="C11" s="7">
        <v>0</v>
      </c>
      <c r="D11" s="7">
        <v>0</v>
      </c>
      <c r="E11" s="7">
        <v>0</v>
      </c>
      <c r="F11" s="7">
        <v>0</v>
      </c>
      <c r="G11" s="10">
        <f t="shared" si="0"/>
        <v>0</v>
      </c>
      <c r="H11" s="7">
        <v>0</v>
      </c>
      <c r="I11" s="7">
        <v>0</v>
      </c>
      <c r="J11" s="7">
        <v>0</v>
      </c>
      <c r="K11" s="7">
        <v>0</v>
      </c>
      <c r="L11" s="10">
        <f t="shared" si="1"/>
        <v>0</v>
      </c>
      <c r="M11" s="7"/>
      <c r="N11" s="7">
        <v>2500</v>
      </c>
      <c r="O11" s="7">
        <v>5000</v>
      </c>
      <c r="P11" s="7">
        <v>5000</v>
      </c>
      <c r="Q11" s="7">
        <v>5000</v>
      </c>
      <c r="R11" s="10">
        <f t="shared" si="12"/>
        <v>17500</v>
      </c>
      <c r="S11" s="7">
        <v>5000</v>
      </c>
      <c r="T11" s="7">
        <v>0</v>
      </c>
      <c r="U11" s="7">
        <v>0</v>
      </c>
      <c r="V11" s="7">
        <v>0</v>
      </c>
      <c r="W11" s="10">
        <f t="shared" si="2"/>
        <v>5000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10">
        <f t="shared" si="3"/>
        <v>0</v>
      </c>
      <c r="AD11" s="7">
        <v>0</v>
      </c>
      <c r="AE11" s="7">
        <v>0</v>
      </c>
      <c r="AF11" s="7">
        <v>0</v>
      </c>
      <c r="AG11" s="7">
        <v>0</v>
      </c>
      <c r="AH11" s="10">
        <f t="shared" si="4"/>
        <v>0</v>
      </c>
      <c r="AI11" s="7">
        <v>0</v>
      </c>
      <c r="AJ11" s="7">
        <v>0</v>
      </c>
      <c r="AK11" s="7">
        <v>0</v>
      </c>
      <c r="AL11" s="7">
        <v>0</v>
      </c>
      <c r="AM11" s="10">
        <f t="shared" si="5"/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10">
        <f t="shared" si="6"/>
        <v>0</v>
      </c>
      <c r="AT11" s="7">
        <v>0</v>
      </c>
      <c r="AU11" s="7">
        <v>0</v>
      </c>
      <c r="AV11" s="7">
        <v>0</v>
      </c>
      <c r="AW11" s="7">
        <v>0</v>
      </c>
      <c r="AX11" s="10">
        <f t="shared" si="7"/>
        <v>0</v>
      </c>
      <c r="AY11" s="7">
        <v>0</v>
      </c>
      <c r="AZ11" s="7">
        <v>0</v>
      </c>
      <c r="BA11" s="7">
        <v>0</v>
      </c>
      <c r="BB11" s="7">
        <v>0</v>
      </c>
      <c r="BC11" s="10">
        <f t="shared" si="8"/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10">
        <f t="shared" si="9"/>
        <v>0</v>
      </c>
      <c r="BJ11" s="7">
        <v>0</v>
      </c>
      <c r="BK11" s="7">
        <v>0</v>
      </c>
      <c r="BL11" s="7">
        <v>0</v>
      </c>
      <c r="BM11" s="7">
        <v>0</v>
      </c>
      <c r="BN11" s="10">
        <f t="shared" si="10"/>
        <v>0</v>
      </c>
      <c r="BO11" s="10">
        <f t="shared" si="11"/>
        <v>22500</v>
      </c>
    </row>
    <row r="12" spans="1:67" ht="21.75" customHeight="1" x14ac:dyDescent="0.2">
      <c r="A12" s="18" t="s">
        <v>67</v>
      </c>
      <c r="B12" s="19" t="s">
        <v>297</v>
      </c>
      <c r="C12" s="7">
        <v>0</v>
      </c>
      <c r="D12" s="7">
        <v>0</v>
      </c>
      <c r="E12" s="7">
        <v>0</v>
      </c>
      <c r="F12" s="7">
        <v>0</v>
      </c>
      <c r="G12" s="10">
        <f t="shared" si="0"/>
        <v>0</v>
      </c>
      <c r="H12" s="7">
        <v>0</v>
      </c>
      <c r="I12" s="7">
        <v>0</v>
      </c>
      <c r="J12" s="7">
        <v>0</v>
      </c>
      <c r="K12" s="7">
        <v>0</v>
      </c>
      <c r="L12" s="10">
        <f t="shared" si="1"/>
        <v>0</v>
      </c>
      <c r="M12" s="7"/>
      <c r="N12" s="7">
        <v>500</v>
      </c>
      <c r="O12" s="7">
        <v>500</v>
      </c>
      <c r="P12" s="7">
        <v>500</v>
      </c>
      <c r="Q12" s="7">
        <v>500</v>
      </c>
      <c r="R12" s="10">
        <f t="shared" si="12"/>
        <v>2000</v>
      </c>
      <c r="S12" s="7">
        <v>500</v>
      </c>
      <c r="T12" s="7">
        <v>500</v>
      </c>
      <c r="U12" s="7">
        <v>500</v>
      </c>
      <c r="V12" s="7">
        <v>500</v>
      </c>
      <c r="W12" s="10">
        <f t="shared" si="2"/>
        <v>2000</v>
      </c>
      <c r="X12" s="7">
        <v>500</v>
      </c>
      <c r="Y12" s="7">
        <v>500</v>
      </c>
      <c r="Z12" s="7">
        <v>500</v>
      </c>
      <c r="AA12" s="7">
        <v>500</v>
      </c>
      <c r="AB12" s="7">
        <v>500</v>
      </c>
      <c r="AC12" s="10">
        <f t="shared" si="3"/>
        <v>2500</v>
      </c>
      <c r="AD12" s="7">
        <v>500</v>
      </c>
      <c r="AE12" s="7">
        <v>0</v>
      </c>
      <c r="AF12" s="7">
        <v>0</v>
      </c>
      <c r="AG12" s="7">
        <v>0</v>
      </c>
      <c r="AH12" s="10">
        <f t="shared" si="4"/>
        <v>500</v>
      </c>
      <c r="AI12" s="7">
        <v>0</v>
      </c>
      <c r="AJ12" s="7">
        <v>0</v>
      </c>
      <c r="AK12" s="7">
        <v>0</v>
      </c>
      <c r="AL12" s="7">
        <v>0</v>
      </c>
      <c r="AM12" s="10">
        <f t="shared" si="5"/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10">
        <f t="shared" si="6"/>
        <v>0</v>
      </c>
      <c r="AT12" s="7">
        <v>0</v>
      </c>
      <c r="AU12" s="7">
        <v>0</v>
      </c>
      <c r="AV12" s="7">
        <v>0</v>
      </c>
      <c r="AW12" s="7">
        <v>0</v>
      </c>
      <c r="AX12" s="10">
        <f t="shared" si="7"/>
        <v>0</v>
      </c>
      <c r="AY12" s="7">
        <v>0</v>
      </c>
      <c r="AZ12" s="7">
        <v>0</v>
      </c>
      <c r="BA12" s="7">
        <v>0</v>
      </c>
      <c r="BB12" s="7">
        <v>0</v>
      </c>
      <c r="BC12" s="10">
        <f t="shared" si="8"/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10">
        <f t="shared" si="9"/>
        <v>0</v>
      </c>
      <c r="BJ12" s="7">
        <v>0</v>
      </c>
      <c r="BK12" s="7">
        <v>0</v>
      </c>
      <c r="BL12" s="7">
        <v>0</v>
      </c>
      <c r="BM12" s="7">
        <v>0</v>
      </c>
      <c r="BN12" s="10">
        <f t="shared" si="10"/>
        <v>0</v>
      </c>
      <c r="BO12" s="10">
        <f t="shared" si="11"/>
        <v>7000</v>
      </c>
    </row>
    <row r="13" spans="1:67" ht="21.75" customHeight="1" x14ac:dyDescent="0.2">
      <c r="A13" s="18" t="s">
        <v>319</v>
      </c>
      <c r="B13" s="19"/>
      <c r="C13" s="7">
        <v>0</v>
      </c>
      <c r="D13" s="7">
        <v>0</v>
      </c>
      <c r="E13" s="7">
        <v>0</v>
      </c>
      <c r="F13" s="7">
        <v>0</v>
      </c>
      <c r="G13" s="10">
        <f t="shared" si="0"/>
        <v>0</v>
      </c>
      <c r="H13" s="7">
        <v>0</v>
      </c>
      <c r="I13" s="7">
        <v>0</v>
      </c>
      <c r="J13" s="7">
        <v>0</v>
      </c>
      <c r="K13" s="7">
        <v>0</v>
      </c>
      <c r="L13" s="10">
        <f t="shared" si="1"/>
        <v>0</v>
      </c>
      <c r="M13" s="7"/>
      <c r="N13" s="7">
        <v>0</v>
      </c>
      <c r="O13" s="7">
        <v>0</v>
      </c>
      <c r="P13" s="7">
        <v>0</v>
      </c>
      <c r="Q13" s="7">
        <v>0</v>
      </c>
      <c r="R13" s="10">
        <f t="shared" si="12"/>
        <v>0</v>
      </c>
      <c r="S13" s="7">
        <v>0</v>
      </c>
      <c r="T13" s="7">
        <v>0</v>
      </c>
      <c r="U13" s="7">
        <v>0</v>
      </c>
      <c r="V13" s="7">
        <v>0</v>
      </c>
      <c r="W13" s="10">
        <f t="shared" si="2"/>
        <v>0</v>
      </c>
      <c r="X13" s="7">
        <v>0</v>
      </c>
      <c r="Y13" s="7">
        <v>0</v>
      </c>
      <c r="Z13" s="7">
        <v>0</v>
      </c>
      <c r="AA13" s="7">
        <v>0</v>
      </c>
      <c r="AB13" s="7">
        <v>2500</v>
      </c>
      <c r="AC13" s="10">
        <f t="shared" si="3"/>
        <v>2500</v>
      </c>
      <c r="AD13" s="7">
        <v>0</v>
      </c>
      <c r="AE13" s="7">
        <v>0</v>
      </c>
      <c r="AF13" s="7">
        <v>0</v>
      </c>
      <c r="AG13" s="7">
        <v>0</v>
      </c>
      <c r="AH13" s="10">
        <f t="shared" si="4"/>
        <v>0</v>
      </c>
      <c r="AI13" s="7">
        <v>0</v>
      </c>
      <c r="AJ13" s="7">
        <v>0</v>
      </c>
      <c r="AK13" s="7">
        <v>0</v>
      </c>
      <c r="AL13" s="7">
        <v>0</v>
      </c>
      <c r="AM13" s="10">
        <f t="shared" si="5"/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10">
        <f t="shared" si="6"/>
        <v>0</v>
      </c>
      <c r="AT13" s="7">
        <v>0</v>
      </c>
      <c r="AU13" s="7">
        <v>0</v>
      </c>
      <c r="AV13" s="7">
        <v>0</v>
      </c>
      <c r="AW13" s="7">
        <v>0</v>
      </c>
      <c r="AX13" s="10">
        <f t="shared" si="7"/>
        <v>0</v>
      </c>
      <c r="AY13" s="7">
        <v>0</v>
      </c>
      <c r="AZ13" s="7">
        <v>0</v>
      </c>
      <c r="BA13" s="7">
        <v>0</v>
      </c>
      <c r="BB13" s="7">
        <v>0</v>
      </c>
      <c r="BC13" s="10">
        <f t="shared" si="8"/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10">
        <f t="shared" si="9"/>
        <v>0</v>
      </c>
      <c r="BJ13" s="7">
        <v>0</v>
      </c>
      <c r="BK13" s="7">
        <v>0</v>
      </c>
      <c r="BL13" s="7">
        <v>0</v>
      </c>
      <c r="BM13" s="7">
        <v>0</v>
      </c>
      <c r="BN13" s="10">
        <f t="shared" si="10"/>
        <v>0</v>
      </c>
      <c r="BO13" s="10">
        <f t="shared" si="11"/>
        <v>2500</v>
      </c>
    </row>
    <row r="14" spans="1:67" ht="21.75" customHeight="1" x14ac:dyDescent="0.2">
      <c r="A14" s="1" t="s">
        <v>68</v>
      </c>
      <c r="B14" s="12"/>
      <c r="C14" s="10">
        <f>SUM(C7,C8,C9,C10,C11,C12,C13)</f>
        <v>0</v>
      </c>
      <c r="D14" s="10">
        <f>SUM(D7,D8,D9,D10,D11,D12,D13)</f>
        <v>0</v>
      </c>
      <c r="E14" s="10">
        <f>SUM(E7,E8,E9,E10,E11,E12,E13)</f>
        <v>0</v>
      </c>
      <c r="F14" s="10">
        <f>SUM(F7,F8,F9,F10,F11,F12,F13)</f>
        <v>0</v>
      </c>
      <c r="G14" s="20">
        <f>SUM(G7:G13)</f>
        <v>0</v>
      </c>
      <c r="H14" s="10">
        <f>SUM(H7,H8,H9,H10,H11,H12,H13)</f>
        <v>0</v>
      </c>
      <c r="I14" s="10">
        <f>SUM(I7,I8,I9,I10,I11,I12,I13)</f>
        <v>0</v>
      </c>
      <c r="J14" s="10">
        <f>SUM(J7,J8,J9,J10,J11,J12,J13)</f>
        <v>0</v>
      </c>
      <c r="K14" s="10">
        <f>SUM(K7,K8,K9,K10,K11,K12,K13)</f>
        <v>0</v>
      </c>
      <c r="L14" s="20">
        <f>SUM(L7:L13)</f>
        <v>0</v>
      </c>
      <c r="M14" s="10">
        <f>SUM(M7,M8,M9,M10,M11,M12,M13)</f>
        <v>0</v>
      </c>
      <c r="N14" s="10">
        <f>SUM(N7,N8,N9,N10,N11,N12,N13)</f>
        <v>14700</v>
      </c>
      <c r="O14" s="10">
        <f>SUM(O7,O8,O9,O10,O11,O12,O13)</f>
        <v>17200</v>
      </c>
      <c r="P14" s="10">
        <f>SUM(P7,P8,P9,P10,P11,P12,P13)</f>
        <v>17200</v>
      </c>
      <c r="Q14" s="10">
        <f>SUM(Q7,Q8,Q9,Q10,Q11,Q12,Q13)</f>
        <v>17200</v>
      </c>
      <c r="R14" s="192">
        <f>SUM(R7:R13)</f>
        <v>66300</v>
      </c>
      <c r="S14" s="10">
        <f>SUM(S7,S8,S9,S10,S11,S12,S13)</f>
        <v>17200</v>
      </c>
      <c r="T14" s="10">
        <f>SUM(T7,T8,T9,T10,T11,T12,T13)</f>
        <v>9700</v>
      </c>
      <c r="U14" s="10">
        <f>SUM(U7,U8,U9,U10,U11,U12,U13)</f>
        <v>9700</v>
      </c>
      <c r="V14" s="10">
        <f>SUM(V7,V8,V9,V10,V11,V12,V13)</f>
        <v>9700</v>
      </c>
      <c r="W14" s="20">
        <f>SUM(W7:W13)</f>
        <v>46300</v>
      </c>
      <c r="X14" s="10">
        <f>SUM(X7,X8,X9,X10,X11,X12,X13)</f>
        <v>9700</v>
      </c>
      <c r="Y14" s="10">
        <f>SUM(Y7,Y8,Y9,Y10,Y11,Y12,Y13)</f>
        <v>9700</v>
      </c>
      <c r="Z14" s="10">
        <f>SUM(Z7,Z8,Z9,Z10,Z11,Z12,Z13)</f>
        <v>9700</v>
      </c>
      <c r="AA14" s="10">
        <f>SUM(AA7,AA8,AA9,AA10,AA11,AA12,AA13)</f>
        <v>9700</v>
      </c>
      <c r="AB14" s="10">
        <f>SUM(AB7,AB8,AB9,AB10,AB11,AB12,AB13)</f>
        <v>12200</v>
      </c>
      <c r="AC14" s="20">
        <f>SUM(AC7:AC13)</f>
        <v>51000</v>
      </c>
      <c r="AD14" s="10">
        <f>SUM(AD7,AD8,AD9,AD10,AD11,AD12,AD13)</f>
        <v>9700</v>
      </c>
      <c r="AE14" s="10">
        <f>SUM(AE7,AE8,AE9,AE10,AE11,AE12,AE13)</f>
        <v>0</v>
      </c>
      <c r="AF14" s="10">
        <f>SUM(AF7,AF8,AF9,AF10,AF11,AF12,AF13)</f>
        <v>0</v>
      </c>
      <c r="AG14" s="10">
        <f>SUM(AG7,AG8,AG9,AG10,AG11,AG12,AG13)</f>
        <v>0</v>
      </c>
      <c r="AH14" s="20">
        <f>SUM(AH7:AH13)</f>
        <v>9700</v>
      </c>
      <c r="AI14" s="10">
        <f>SUM(AI7,AI8,AI9,AI10,AI11,AI12,AI13)</f>
        <v>0</v>
      </c>
      <c r="AJ14" s="10">
        <f>SUM(AJ7,AJ8,AJ9,AJ10,AJ11,AJ12,AJ13)</f>
        <v>0</v>
      </c>
      <c r="AK14" s="10">
        <f>SUM(AK7,AK8,AK9,AK10,AK11,AK12,AK13)</f>
        <v>0</v>
      </c>
      <c r="AL14" s="10">
        <f>SUM(AL7,AL8,AL9,AL10,AL11,AL12,AL13)</f>
        <v>0</v>
      </c>
      <c r="AM14" s="20">
        <f>SUM(AM7:AM13)</f>
        <v>0</v>
      </c>
      <c r="AN14" s="10">
        <f>SUM(AN7,AN8,AN9,AN10,AN11,AN12,AN13)</f>
        <v>0</v>
      </c>
      <c r="AO14" s="10">
        <f>SUM(AO7,AO8,AO9,AO10,AO11,AO12,AO13)</f>
        <v>0</v>
      </c>
      <c r="AP14" s="10">
        <f>SUM(AP7,AP8,AP9,AP10,AP11,AP12,AP13)</f>
        <v>0</v>
      </c>
      <c r="AQ14" s="10">
        <f>SUM(AQ7,AQ8,AQ9,AQ10,AQ11,AQ12,AQ13)</f>
        <v>0</v>
      </c>
      <c r="AR14" s="10">
        <f>SUM(AR7,AR8,AR9,AR10,AR11,AR12,AR13)</f>
        <v>0</v>
      </c>
      <c r="AS14" s="20">
        <f>SUM(AS7:AS13)</f>
        <v>0</v>
      </c>
      <c r="AT14" s="10">
        <f>SUM(AT7,AT8,AT9,AT10,AT11,AT12,AT13)</f>
        <v>0</v>
      </c>
      <c r="AU14" s="10">
        <f>SUM(AU7,AU8,AU9,AU10,AU11,AU12,AU13)</f>
        <v>0</v>
      </c>
      <c r="AV14" s="10">
        <f>SUM(AV7,AV8,AV9,AV10,AV11,AV12,AV13)</f>
        <v>0</v>
      </c>
      <c r="AW14" s="10">
        <f>SUM(AW7,AW8,AW9,AW10,AW11,AW12,AW13)</f>
        <v>0</v>
      </c>
      <c r="AX14" s="20">
        <f>SUM(AX7:AX13)</f>
        <v>0</v>
      </c>
      <c r="AY14" s="10">
        <f>SUM(AY7,AY8,AY9,AY10,AY11,AY12,AY13)</f>
        <v>0</v>
      </c>
      <c r="AZ14" s="10">
        <f>SUM(AZ7,AZ8,AZ9,AZ10,AZ11,AZ12,AZ13)</f>
        <v>0</v>
      </c>
      <c r="BA14" s="10">
        <f>SUM(BA7,BA8,BA9,BA10,BA11,BA12,BA13)</f>
        <v>0</v>
      </c>
      <c r="BB14" s="10">
        <f>SUM(BB7,BB8,BB9,BB10,BB11,BB12,BB13)</f>
        <v>0</v>
      </c>
      <c r="BC14" s="20">
        <f>SUM(BC7:BC13)</f>
        <v>0</v>
      </c>
      <c r="BD14" s="10">
        <f>SUM(BD7,BD8,BD9,BD10,BD11,BD12,BD13)</f>
        <v>0</v>
      </c>
      <c r="BE14" s="10">
        <f>SUM(BE7,BE8,BE9,BE10,BE11,BE12,BE13)</f>
        <v>0</v>
      </c>
      <c r="BF14" s="10">
        <f>SUM(BF7,BF8,BF9,BF10,BF11,BF12,BF13)</f>
        <v>0</v>
      </c>
      <c r="BG14" s="10">
        <f>SUM(BG7,BG8,BG9,BG10,BG11,BG12,BG13)</f>
        <v>0</v>
      </c>
      <c r="BH14" s="10">
        <f>SUM(BH7,BH8,BH9,BH10,BH11,BH12,BH13)</f>
        <v>0</v>
      </c>
      <c r="BI14" s="20">
        <f>SUM(BI7:BI13)</f>
        <v>0</v>
      </c>
      <c r="BJ14" s="10">
        <f>SUM(BJ7,BJ8,BJ9,BJ10,BJ11,BJ12,BJ13)</f>
        <v>0</v>
      </c>
      <c r="BK14" s="10">
        <f>SUM(BK7,BK8,BK9,BK10,BK11,BK12,BK13)</f>
        <v>0</v>
      </c>
      <c r="BL14" s="10">
        <f>SUM(BL7,BL8,BL9,BL10,BL11,BL12,BL13)</f>
        <v>0</v>
      </c>
      <c r="BM14" s="10">
        <f>SUM(BM7,BM8,BM9,BM10,BM11,BM12,BM13)</f>
        <v>0</v>
      </c>
      <c r="BN14" s="20">
        <f>SUM(BN7:BN13)</f>
        <v>0</v>
      </c>
      <c r="BO14" s="193">
        <f>SUM(BO7:BO13)</f>
        <v>173300</v>
      </c>
    </row>
  </sheetData>
  <mergeCells count="14">
    <mergeCell ref="A1:BO1"/>
    <mergeCell ref="A2:BO2"/>
    <mergeCell ref="C4:G4"/>
    <mergeCell ref="H4:L4"/>
    <mergeCell ref="M4:R4"/>
    <mergeCell ref="S4:W4"/>
    <mergeCell ref="X4:AC4"/>
    <mergeCell ref="AD4:AH4"/>
    <mergeCell ref="AI4:AM4"/>
    <mergeCell ref="AN4:AS4"/>
    <mergeCell ref="AT4:AX4"/>
    <mergeCell ref="AY4:BC4"/>
    <mergeCell ref="BD4:BI4"/>
    <mergeCell ref="BJ4:BN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"/>
  <sheetViews>
    <sheetView topLeftCell="A23" zoomScaleNormal="100" workbookViewId="0">
      <selection activeCell="D51" sqref="D51"/>
    </sheetView>
  </sheetViews>
  <sheetFormatPr defaultColWidth="8.7421875" defaultRowHeight="15" x14ac:dyDescent="0.2"/>
  <cols>
    <col min="1" max="2" width="13.98828125" customWidth="1"/>
    <col min="3" max="4" width="22.05859375" customWidth="1"/>
    <col min="5" max="5" width="22.05859375" hidden="1" customWidth="1"/>
    <col min="6" max="6" width="26.76953125" hidden="1" customWidth="1"/>
  </cols>
  <sheetData>
    <row r="1" spans="1:6" ht="36" customHeight="1" x14ac:dyDescent="0.2">
      <c r="A1" s="204" t="s">
        <v>38</v>
      </c>
      <c r="B1" s="204"/>
      <c r="C1" s="204"/>
      <c r="D1" s="204"/>
      <c r="E1" s="204"/>
      <c r="F1" s="204"/>
    </row>
    <row r="2" spans="1:6" ht="21.75" customHeight="1" x14ac:dyDescent="0.2">
      <c r="A2" s="205" t="s">
        <v>69</v>
      </c>
      <c r="B2" s="205"/>
      <c r="C2" s="205"/>
      <c r="D2" s="205"/>
      <c r="E2" s="205"/>
      <c r="F2" s="205"/>
    </row>
    <row r="3" spans="1:6" ht="7.5" customHeight="1" thickBot="1" x14ac:dyDescent="0.25"/>
    <row r="4" spans="1:6" ht="35.25" customHeight="1" thickBot="1" x14ac:dyDescent="0.25">
      <c r="A4" s="4" t="s">
        <v>2</v>
      </c>
      <c r="B4" s="4" t="s">
        <v>3</v>
      </c>
      <c r="C4" s="4" t="s">
        <v>70</v>
      </c>
      <c r="D4" s="4" t="s">
        <v>71</v>
      </c>
      <c r="E4" s="4" t="s">
        <v>72</v>
      </c>
      <c r="F4" s="4" t="s">
        <v>73</v>
      </c>
    </row>
    <row r="5" spans="1:6" ht="19.5" hidden="1" customHeight="1" x14ac:dyDescent="0.2">
      <c r="A5" s="209" t="s">
        <v>74</v>
      </c>
      <c r="B5" s="209"/>
      <c r="C5" s="209"/>
      <c r="D5" s="209"/>
      <c r="E5" s="209"/>
      <c r="F5" s="209"/>
    </row>
    <row r="6" spans="1:6" ht="15" hidden="1" customHeight="1" x14ac:dyDescent="0.2">
      <c r="A6" s="5">
        <v>46026</v>
      </c>
      <c r="B6" s="6" t="s">
        <v>9</v>
      </c>
      <c r="C6" s="9">
        <f>Collections!E6</f>
        <v>0</v>
      </c>
      <c r="D6" s="9">
        <f>Expenses!C14</f>
        <v>0</v>
      </c>
      <c r="E6" s="8">
        <f>C6-D6</f>
        <v>0</v>
      </c>
      <c r="F6" s="21"/>
    </row>
    <row r="7" spans="1:6" ht="15" hidden="1" customHeight="1" x14ac:dyDescent="0.2">
      <c r="A7" s="5">
        <v>46033</v>
      </c>
      <c r="B7" s="6" t="s">
        <v>10</v>
      </c>
      <c r="C7" s="9">
        <f>Collections!E7</f>
        <v>0</v>
      </c>
      <c r="D7" s="9">
        <f>Expenses!D14</f>
        <v>0</v>
      </c>
      <c r="E7" s="8">
        <f>C7-D7</f>
        <v>0</v>
      </c>
      <c r="F7" s="21"/>
    </row>
    <row r="8" spans="1:6" ht="15" hidden="1" customHeight="1" x14ac:dyDescent="0.2">
      <c r="A8" s="5">
        <v>46040</v>
      </c>
      <c r="B8" s="6" t="s">
        <v>11</v>
      </c>
      <c r="C8" s="9">
        <f>Collections!E8</f>
        <v>0</v>
      </c>
      <c r="D8" s="9">
        <f>Expenses!E14</f>
        <v>0</v>
      </c>
      <c r="E8" s="8">
        <f>C8-D8</f>
        <v>0</v>
      </c>
      <c r="F8" s="21"/>
    </row>
    <row r="9" spans="1:6" ht="15" hidden="1" customHeight="1" x14ac:dyDescent="0.2">
      <c r="A9" s="5">
        <v>46047</v>
      </c>
      <c r="B9" s="6" t="s">
        <v>12</v>
      </c>
      <c r="C9" s="9">
        <f>Collections!E9</f>
        <v>0</v>
      </c>
      <c r="D9" s="9">
        <f>Expenses!F14</f>
        <v>0</v>
      </c>
      <c r="E9" s="8">
        <f>C9-D9</f>
        <v>0</v>
      </c>
      <c r="F9" s="21"/>
    </row>
    <row r="10" spans="1:6" ht="19.5" hidden="1" customHeight="1" x14ac:dyDescent="0.2">
      <c r="A10" s="207" t="s">
        <v>75</v>
      </c>
      <c r="B10" s="207"/>
      <c r="C10" s="10">
        <f>Collections!E10</f>
        <v>0</v>
      </c>
      <c r="D10" s="10">
        <f>Expenses!G14</f>
        <v>0</v>
      </c>
      <c r="E10" s="10">
        <f>C10-D10</f>
        <v>0</v>
      </c>
      <c r="F10" s="16"/>
    </row>
    <row r="11" spans="1:6" ht="19.5" hidden="1" customHeight="1" x14ac:dyDescent="0.2">
      <c r="A11" s="209" t="s">
        <v>76</v>
      </c>
      <c r="B11" s="209"/>
      <c r="C11" s="209"/>
      <c r="D11" s="209"/>
      <c r="E11" s="209"/>
      <c r="F11" s="209"/>
    </row>
    <row r="12" spans="1:6" ht="15" hidden="1" customHeight="1" x14ac:dyDescent="0.2">
      <c r="A12" s="5">
        <v>46054</v>
      </c>
      <c r="B12" s="6" t="s">
        <v>9</v>
      </c>
      <c r="C12" s="9">
        <f>Collections!E12</f>
        <v>0</v>
      </c>
      <c r="D12" s="9">
        <f>Expenses!H14</f>
        <v>0</v>
      </c>
      <c r="E12" s="8">
        <f>C12-D12</f>
        <v>0</v>
      </c>
      <c r="F12" s="21"/>
    </row>
    <row r="13" spans="1:6" ht="15" hidden="1" customHeight="1" x14ac:dyDescent="0.2">
      <c r="A13" s="5">
        <v>46061</v>
      </c>
      <c r="B13" s="6" t="s">
        <v>10</v>
      </c>
      <c r="C13" s="9">
        <f>Collections!E13</f>
        <v>0</v>
      </c>
      <c r="D13" s="9">
        <f>Expenses!I14</f>
        <v>0</v>
      </c>
      <c r="E13" s="8">
        <f>C13-D13</f>
        <v>0</v>
      </c>
      <c r="F13" s="21"/>
    </row>
    <row r="14" spans="1:6" ht="15" hidden="1" customHeight="1" x14ac:dyDescent="0.2">
      <c r="A14" s="5">
        <v>46068</v>
      </c>
      <c r="B14" s="6" t="s">
        <v>11</v>
      </c>
      <c r="C14" s="9">
        <f>Collections!E14</f>
        <v>0</v>
      </c>
      <c r="D14" s="9">
        <f>Expenses!J14</f>
        <v>0</v>
      </c>
      <c r="E14" s="8">
        <f>C14-D14</f>
        <v>0</v>
      </c>
      <c r="F14" s="21"/>
    </row>
    <row r="15" spans="1:6" ht="15" hidden="1" customHeight="1" x14ac:dyDescent="0.2">
      <c r="A15" s="5">
        <v>46075</v>
      </c>
      <c r="B15" s="6" t="s">
        <v>12</v>
      </c>
      <c r="C15" s="9">
        <f>Collections!E15</f>
        <v>0</v>
      </c>
      <c r="D15" s="9">
        <f>Expenses!K14</f>
        <v>0</v>
      </c>
      <c r="E15" s="8">
        <f>C15-D15</f>
        <v>0</v>
      </c>
      <c r="F15" s="21"/>
    </row>
    <row r="16" spans="1:6" ht="19.5" hidden="1" customHeight="1" x14ac:dyDescent="0.2">
      <c r="A16" s="207" t="s">
        <v>77</v>
      </c>
      <c r="B16" s="207"/>
      <c r="C16" s="10">
        <f>Collections!E16</f>
        <v>0</v>
      </c>
      <c r="D16" s="10">
        <f>Expenses!L14</f>
        <v>0</v>
      </c>
      <c r="E16" s="10">
        <f>C16-D16</f>
        <v>0</v>
      </c>
      <c r="F16" s="16"/>
    </row>
    <row r="17" spans="1:6" ht="19.5" customHeight="1" thickBot="1" x14ac:dyDescent="0.25">
      <c r="A17" s="209" t="s">
        <v>78</v>
      </c>
      <c r="B17" s="209"/>
      <c r="C17" s="209"/>
      <c r="D17" s="209"/>
      <c r="E17" s="209"/>
      <c r="F17" s="209"/>
    </row>
    <row r="18" spans="1:6" ht="15" customHeight="1" x14ac:dyDescent="0.2">
      <c r="A18" s="5">
        <v>46082</v>
      </c>
      <c r="B18" s="6" t="s">
        <v>9</v>
      </c>
      <c r="C18" s="9">
        <f>Collections!E18</f>
        <v>0</v>
      </c>
      <c r="D18" s="9">
        <f>Expenses!M14</f>
        <v>0</v>
      </c>
      <c r="E18" s="8">
        <f t="shared" ref="E18:E23" si="0">C18-D18</f>
        <v>0</v>
      </c>
      <c r="F18" s="211" t="s">
        <v>281</v>
      </c>
    </row>
    <row r="19" spans="1:6" ht="15" customHeight="1" x14ac:dyDescent="0.2">
      <c r="A19" s="5">
        <v>46089</v>
      </c>
      <c r="B19" s="6" t="s">
        <v>10</v>
      </c>
      <c r="C19" s="9">
        <f>Collections!E19</f>
        <v>3160</v>
      </c>
      <c r="D19" s="9">
        <f>Expenses!N14</f>
        <v>14700</v>
      </c>
      <c r="E19" s="8">
        <f t="shared" si="0"/>
        <v>-11540</v>
      </c>
      <c r="F19" s="212"/>
    </row>
    <row r="20" spans="1:6" ht="15" customHeight="1" x14ac:dyDescent="0.2">
      <c r="A20" s="5">
        <v>46096</v>
      </c>
      <c r="B20" s="6" t="s">
        <v>11</v>
      </c>
      <c r="C20" s="9">
        <f>Collections!E20</f>
        <v>6310</v>
      </c>
      <c r="D20" s="9">
        <f>Expenses!O14</f>
        <v>17200</v>
      </c>
      <c r="E20" s="8">
        <f t="shared" si="0"/>
        <v>-10890</v>
      </c>
      <c r="F20" s="212"/>
    </row>
    <row r="21" spans="1:6" ht="15" customHeight="1" x14ac:dyDescent="0.2">
      <c r="A21" s="5">
        <v>46103</v>
      </c>
      <c r="B21" s="6" t="s">
        <v>12</v>
      </c>
      <c r="C21" s="9">
        <f>Collections!E21</f>
        <v>4680</v>
      </c>
      <c r="D21" s="9">
        <f>Expenses!P14</f>
        <v>17200</v>
      </c>
      <c r="E21" s="8">
        <f t="shared" si="0"/>
        <v>-12520</v>
      </c>
      <c r="F21" s="213"/>
    </row>
    <row r="22" spans="1:6" ht="15" customHeight="1" thickBot="1" x14ac:dyDescent="0.25">
      <c r="A22" s="5">
        <v>46110</v>
      </c>
      <c r="B22" s="6" t="s">
        <v>17</v>
      </c>
      <c r="C22" s="9">
        <f>Collections!E22</f>
        <v>4620</v>
      </c>
      <c r="D22" s="9">
        <f>Expenses!Q14</f>
        <v>17200</v>
      </c>
      <c r="E22" s="8">
        <f t="shared" si="0"/>
        <v>-12580</v>
      </c>
      <c r="F22" s="21"/>
    </row>
    <row r="23" spans="1:6" ht="19.5" customHeight="1" x14ac:dyDescent="0.2">
      <c r="A23" s="207" t="s">
        <v>79</v>
      </c>
      <c r="B23" s="207"/>
      <c r="C23" s="10">
        <f>Collections!E23</f>
        <v>18770</v>
      </c>
      <c r="D23" s="10">
        <f>Expenses!R14</f>
        <v>66300</v>
      </c>
      <c r="E23" s="10">
        <f t="shared" si="0"/>
        <v>-47530</v>
      </c>
      <c r="F23" s="16"/>
    </row>
    <row r="24" spans="1:6" ht="19.5" customHeight="1" x14ac:dyDescent="0.2">
      <c r="A24" s="209" t="s">
        <v>80</v>
      </c>
      <c r="B24" s="209"/>
      <c r="C24" s="209"/>
      <c r="D24" s="209"/>
      <c r="E24" s="209"/>
      <c r="F24" s="209"/>
    </row>
    <row r="25" spans="1:6" ht="15" customHeight="1" x14ac:dyDescent="0.2">
      <c r="A25" s="5">
        <v>46117</v>
      </c>
      <c r="B25" s="6" t="s">
        <v>9</v>
      </c>
      <c r="C25" s="9">
        <f>Collections!E25</f>
        <v>12780</v>
      </c>
      <c r="D25" s="9">
        <f>Expenses!S14</f>
        <v>17200</v>
      </c>
      <c r="E25" s="8">
        <f>C25-D25</f>
        <v>-4420</v>
      </c>
      <c r="F25" s="21"/>
    </row>
    <row r="26" spans="1:6" ht="15" customHeight="1" x14ac:dyDescent="0.2">
      <c r="A26" s="5">
        <v>46124</v>
      </c>
      <c r="B26" s="6" t="s">
        <v>10</v>
      </c>
      <c r="C26" s="9">
        <f>Collections!E26</f>
        <v>6280</v>
      </c>
      <c r="D26" s="9">
        <f>Expenses!T14</f>
        <v>9700</v>
      </c>
      <c r="E26" s="8">
        <f>C26-D26</f>
        <v>-3420</v>
      </c>
      <c r="F26" s="21"/>
    </row>
    <row r="27" spans="1:6" ht="15" customHeight="1" x14ac:dyDescent="0.2">
      <c r="A27" s="5">
        <v>46131</v>
      </c>
      <c r="B27" s="6" t="s">
        <v>11</v>
      </c>
      <c r="C27" s="9">
        <f>Collections!E27</f>
        <v>7530.5</v>
      </c>
      <c r="D27" s="9">
        <f>Expenses!U14</f>
        <v>9700</v>
      </c>
      <c r="E27" s="8">
        <f>C27-D27</f>
        <v>-2169.5</v>
      </c>
      <c r="F27" s="21"/>
    </row>
    <row r="28" spans="1:6" ht="15" customHeight="1" x14ac:dyDescent="0.2">
      <c r="A28" s="5">
        <v>46138</v>
      </c>
      <c r="B28" s="6" t="s">
        <v>12</v>
      </c>
      <c r="C28" s="9">
        <f>Collections!E28</f>
        <v>6600</v>
      </c>
      <c r="D28" s="9">
        <f>Expenses!V14</f>
        <v>9700</v>
      </c>
      <c r="E28" s="8">
        <f>C28-D28</f>
        <v>-3100</v>
      </c>
      <c r="F28" s="21"/>
    </row>
    <row r="29" spans="1:6" ht="19.5" customHeight="1" thickBot="1" x14ac:dyDescent="0.25">
      <c r="A29" s="207" t="s">
        <v>81</v>
      </c>
      <c r="B29" s="207"/>
      <c r="C29" s="10">
        <f>Collections!E29</f>
        <v>33190.5</v>
      </c>
      <c r="D29" s="10">
        <f>Expenses!W14</f>
        <v>46300</v>
      </c>
      <c r="E29" s="10">
        <f>C29-D29</f>
        <v>-13109.5</v>
      </c>
      <c r="F29" s="16"/>
    </row>
    <row r="30" spans="1:6" ht="19.5" hidden="1" customHeight="1" x14ac:dyDescent="0.2">
      <c r="A30" s="209" t="s">
        <v>82</v>
      </c>
      <c r="B30" s="209"/>
      <c r="C30" s="209"/>
      <c r="D30" s="209"/>
      <c r="E30" s="209"/>
      <c r="F30" s="209"/>
    </row>
    <row r="31" spans="1:6" ht="15" hidden="1" customHeight="1" x14ac:dyDescent="0.2">
      <c r="A31" s="5">
        <v>46145</v>
      </c>
      <c r="B31" s="6" t="s">
        <v>9</v>
      </c>
      <c r="C31" s="9">
        <f>Collections!E31</f>
        <v>2740</v>
      </c>
      <c r="D31" s="9">
        <f>Expenses!X14</f>
        <v>9700</v>
      </c>
      <c r="E31" s="8">
        <f t="shared" ref="E31:E36" si="1">C31-D31</f>
        <v>-6960</v>
      </c>
      <c r="F31" s="21"/>
    </row>
    <row r="32" spans="1:6" ht="15" hidden="1" customHeight="1" x14ac:dyDescent="0.2">
      <c r="A32" s="5">
        <v>46152</v>
      </c>
      <c r="B32" s="6" t="s">
        <v>10</v>
      </c>
      <c r="C32" s="9">
        <f>Collections!E32</f>
        <v>2770</v>
      </c>
      <c r="D32" s="9">
        <f>Expenses!Y14</f>
        <v>9700</v>
      </c>
      <c r="E32" s="8">
        <f t="shared" si="1"/>
        <v>-6930</v>
      </c>
      <c r="F32" s="21"/>
    </row>
    <row r="33" spans="1:6" ht="15" hidden="1" customHeight="1" x14ac:dyDescent="0.2">
      <c r="A33" s="5">
        <v>46159</v>
      </c>
      <c r="B33" s="6" t="s">
        <v>11</v>
      </c>
      <c r="C33" s="9">
        <f>Collections!E33</f>
        <v>11371</v>
      </c>
      <c r="D33" s="9">
        <f>Expenses!Z14</f>
        <v>9700</v>
      </c>
      <c r="E33" s="8">
        <f t="shared" si="1"/>
        <v>1671</v>
      </c>
      <c r="F33" s="21"/>
    </row>
    <row r="34" spans="1:6" ht="15" hidden="1" customHeight="1" x14ac:dyDescent="0.2">
      <c r="A34" s="5">
        <v>46166</v>
      </c>
      <c r="B34" s="6" t="s">
        <v>12</v>
      </c>
      <c r="C34" s="9">
        <f>Collections!E34</f>
        <v>4110</v>
      </c>
      <c r="D34" s="9">
        <f>Expenses!AA14</f>
        <v>9700</v>
      </c>
      <c r="E34" s="8">
        <f t="shared" si="1"/>
        <v>-5590</v>
      </c>
      <c r="F34" s="21"/>
    </row>
    <row r="35" spans="1:6" ht="15" hidden="1" customHeight="1" x14ac:dyDescent="0.2">
      <c r="A35" s="5">
        <v>46173</v>
      </c>
      <c r="B35" s="6" t="s">
        <v>17</v>
      </c>
      <c r="C35" s="9">
        <f>Collections!E35</f>
        <v>1790</v>
      </c>
      <c r="D35" s="9">
        <f>Expenses!AB14</f>
        <v>12200</v>
      </c>
      <c r="E35" s="8">
        <f t="shared" si="1"/>
        <v>-10410</v>
      </c>
      <c r="F35" s="21"/>
    </row>
    <row r="36" spans="1:6" ht="19.5" hidden="1" customHeight="1" x14ac:dyDescent="0.2">
      <c r="A36" s="207" t="s">
        <v>83</v>
      </c>
      <c r="B36" s="207"/>
      <c r="C36" s="10">
        <f>Collections!E36</f>
        <v>22781</v>
      </c>
      <c r="D36" s="10">
        <f>Expenses!AC14</f>
        <v>51000</v>
      </c>
      <c r="E36" s="10">
        <f t="shared" si="1"/>
        <v>-28219</v>
      </c>
      <c r="F36" s="16"/>
    </row>
    <row r="37" spans="1:6" ht="19.5" hidden="1" customHeight="1" x14ac:dyDescent="0.2">
      <c r="A37" s="209" t="s">
        <v>84</v>
      </c>
      <c r="B37" s="209"/>
      <c r="C37" s="209"/>
      <c r="D37" s="209"/>
      <c r="E37" s="209"/>
      <c r="F37" s="209"/>
    </row>
    <row r="38" spans="1:6" ht="15" hidden="1" customHeight="1" x14ac:dyDescent="0.2">
      <c r="A38" s="5">
        <v>46180</v>
      </c>
      <c r="B38" s="6" t="s">
        <v>9</v>
      </c>
      <c r="C38" s="9">
        <f>Collections!E38</f>
        <v>3545</v>
      </c>
      <c r="D38" s="9">
        <f>Expenses!AD14</f>
        <v>9700</v>
      </c>
      <c r="E38" s="8">
        <f>C38-D38</f>
        <v>-6155</v>
      </c>
      <c r="F38" s="21"/>
    </row>
    <row r="39" spans="1:6" ht="15" hidden="1" customHeight="1" x14ac:dyDescent="0.2">
      <c r="A39" s="5">
        <v>46187</v>
      </c>
      <c r="B39" s="6" t="s">
        <v>10</v>
      </c>
      <c r="C39" s="9">
        <f>Collections!E39</f>
        <v>0</v>
      </c>
      <c r="D39" s="9">
        <f>Expenses!AE14</f>
        <v>0</v>
      </c>
      <c r="E39" s="8">
        <f>C39-D39</f>
        <v>0</v>
      </c>
      <c r="F39" s="21"/>
    </row>
    <row r="40" spans="1:6" ht="15" hidden="1" customHeight="1" x14ac:dyDescent="0.2">
      <c r="A40" s="5">
        <v>46194</v>
      </c>
      <c r="B40" s="6" t="s">
        <v>11</v>
      </c>
      <c r="C40" s="9">
        <f>Collections!E40</f>
        <v>0</v>
      </c>
      <c r="D40" s="9">
        <f>Expenses!AF14</f>
        <v>0</v>
      </c>
      <c r="E40" s="8">
        <f>C40-D40</f>
        <v>0</v>
      </c>
      <c r="F40" s="21"/>
    </row>
    <row r="41" spans="1:6" ht="15" hidden="1" customHeight="1" x14ac:dyDescent="0.2">
      <c r="A41" s="5">
        <v>46201</v>
      </c>
      <c r="B41" s="6" t="s">
        <v>12</v>
      </c>
      <c r="C41" s="9">
        <f>Collections!E41</f>
        <v>0</v>
      </c>
      <c r="D41" s="9">
        <f>Expenses!AG14</f>
        <v>0</v>
      </c>
      <c r="E41" s="8">
        <f>C41-D41</f>
        <v>0</v>
      </c>
      <c r="F41" s="21"/>
    </row>
    <row r="42" spans="1:6" ht="19.5" hidden="1" customHeight="1" x14ac:dyDescent="0.2">
      <c r="A42" s="207" t="s">
        <v>85</v>
      </c>
      <c r="B42" s="207"/>
      <c r="C42" s="10">
        <f>Collections!E42</f>
        <v>3545</v>
      </c>
      <c r="D42" s="10">
        <f>Expenses!AH14</f>
        <v>9700</v>
      </c>
      <c r="E42" s="10">
        <f>C42-D42</f>
        <v>-6155</v>
      </c>
      <c r="F42" s="16"/>
    </row>
    <row r="43" spans="1:6" ht="19.5" hidden="1" customHeight="1" x14ac:dyDescent="0.2">
      <c r="A43" s="209" t="s">
        <v>86</v>
      </c>
      <c r="B43" s="209"/>
      <c r="C43" s="209"/>
      <c r="D43" s="209"/>
      <c r="E43" s="209"/>
      <c r="F43" s="209"/>
    </row>
    <row r="44" spans="1:6" ht="15" hidden="1" customHeight="1" x14ac:dyDescent="0.2">
      <c r="A44" s="5">
        <v>46208</v>
      </c>
      <c r="B44" s="6" t="s">
        <v>9</v>
      </c>
      <c r="C44" s="9">
        <f>Collections!E44</f>
        <v>0</v>
      </c>
      <c r="D44" s="9">
        <f>Expenses!AI14</f>
        <v>0</v>
      </c>
      <c r="E44" s="8">
        <f>C44-D44</f>
        <v>0</v>
      </c>
      <c r="F44" s="21"/>
    </row>
    <row r="45" spans="1:6" ht="15" hidden="1" customHeight="1" x14ac:dyDescent="0.2">
      <c r="A45" s="5">
        <v>46215</v>
      </c>
      <c r="B45" s="6" t="s">
        <v>10</v>
      </c>
      <c r="C45" s="9">
        <f>Collections!E45</f>
        <v>0</v>
      </c>
      <c r="D45" s="9">
        <f>Expenses!AJ14</f>
        <v>0</v>
      </c>
      <c r="E45" s="8">
        <f>C45-D45</f>
        <v>0</v>
      </c>
      <c r="F45" s="21"/>
    </row>
    <row r="46" spans="1:6" ht="15" hidden="1" customHeight="1" x14ac:dyDescent="0.2">
      <c r="A46" s="5">
        <v>46222</v>
      </c>
      <c r="B46" s="6" t="s">
        <v>11</v>
      </c>
      <c r="C46" s="9">
        <f>Collections!E46</f>
        <v>0</v>
      </c>
      <c r="D46" s="9">
        <f>Expenses!AK14</f>
        <v>0</v>
      </c>
      <c r="E46" s="8">
        <f>C46-D46</f>
        <v>0</v>
      </c>
      <c r="F46" s="21"/>
    </row>
    <row r="47" spans="1:6" ht="15" hidden="1" customHeight="1" x14ac:dyDescent="0.2">
      <c r="A47" s="5">
        <v>46229</v>
      </c>
      <c r="B47" s="6" t="s">
        <v>12</v>
      </c>
      <c r="C47" s="9">
        <f>Collections!E47</f>
        <v>0</v>
      </c>
      <c r="D47" s="9">
        <f>Expenses!AL14</f>
        <v>0</v>
      </c>
      <c r="E47" s="8">
        <f>C47-D47</f>
        <v>0</v>
      </c>
      <c r="F47" s="21"/>
    </row>
    <row r="48" spans="1:6" ht="19.5" hidden="1" customHeight="1" x14ac:dyDescent="0.2">
      <c r="A48" s="207" t="s">
        <v>87</v>
      </c>
      <c r="B48" s="207"/>
      <c r="C48" s="10">
        <f>Collections!E48</f>
        <v>0</v>
      </c>
      <c r="D48" s="10">
        <f>Expenses!AM14</f>
        <v>0</v>
      </c>
      <c r="E48" s="10">
        <f>C48-D48</f>
        <v>0</v>
      </c>
      <c r="F48" s="16"/>
    </row>
    <row r="49" spans="1:6" ht="19.5" hidden="1" customHeight="1" x14ac:dyDescent="0.2">
      <c r="A49" s="209" t="s">
        <v>88</v>
      </c>
      <c r="B49" s="209"/>
      <c r="C49" s="209"/>
      <c r="D49" s="209"/>
      <c r="E49" s="209"/>
      <c r="F49" s="209"/>
    </row>
    <row r="50" spans="1:6" ht="15" hidden="1" customHeight="1" x14ac:dyDescent="0.2">
      <c r="A50" s="5">
        <v>46236</v>
      </c>
      <c r="B50" s="6" t="s">
        <v>9</v>
      </c>
      <c r="C50" s="9">
        <f>Collections!E50</f>
        <v>0</v>
      </c>
      <c r="D50" s="9">
        <f>Expenses!AN14</f>
        <v>0</v>
      </c>
      <c r="E50" s="8">
        <f t="shared" ref="E50:E55" si="2">C50-D50</f>
        <v>0</v>
      </c>
      <c r="F50" s="21"/>
    </row>
    <row r="51" spans="1:6" x14ac:dyDescent="0.2">
      <c r="A51" s="5">
        <v>46243</v>
      </c>
      <c r="B51" s="6" t="s">
        <v>10</v>
      </c>
      <c r="C51" s="9">
        <f>Collections!E51</f>
        <v>0</v>
      </c>
      <c r="D51" s="9">
        <f>Expenses!AO14</f>
        <v>0</v>
      </c>
      <c r="E51" s="8">
        <f t="shared" si="2"/>
        <v>0</v>
      </c>
      <c r="F51" s="21"/>
    </row>
    <row r="52" spans="1:6" x14ac:dyDescent="0.2">
      <c r="A52" s="5">
        <v>46250</v>
      </c>
      <c r="B52" s="6" t="s">
        <v>11</v>
      </c>
      <c r="C52" s="9">
        <f>Collections!E52</f>
        <v>0</v>
      </c>
      <c r="D52" s="9">
        <f>Expenses!AP14</f>
        <v>0</v>
      </c>
      <c r="E52" s="8">
        <f t="shared" si="2"/>
        <v>0</v>
      </c>
      <c r="F52" s="21"/>
    </row>
    <row r="53" spans="1:6" x14ac:dyDescent="0.2">
      <c r="A53" s="5">
        <v>46257</v>
      </c>
      <c r="B53" s="6" t="s">
        <v>12</v>
      </c>
      <c r="C53" s="9">
        <f>Collections!E53</f>
        <v>0</v>
      </c>
      <c r="D53" s="9">
        <f>Expenses!AQ14</f>
        <v>0</v>
      </c>
      <c r="E53" s="8">
        <f t="shared" si="2"/>
        <v>0</v>
      </c>
      <c r="F53" s="21"/>
    </row>
    <row r="54" spans="1:6" ht="15.75" thickBot="1" x14ac:dyDescent="0.25">
      <c r="A54" s="5">
        <v>46264</v>
      </c>
      <c r="B54" s="6" t="s">
        <v>17</v>
      </c>
      <c r="C54" s="9">
        <f>Collections!E54</f>
        <v>0</v>
      </c>
      <c r="D54" s="9">
        <f>Expenses!AR14</f>
        <v>0</v>
      </c>
      <c r="E54" s="8">
        <f t="shared" si="2"/>
        <v>0</v>
      </c>
      <c r="F54" s="21"/>
    </row>
    <row r="55" spans="1:6" ht="15.75" thickBot="1" x14ac:dyDescent="0.25">
      <c r="A55" s="207" t="s">
        <v>89</v>
      </c>
      <c r="B55" s="207"/>
      <c r="C55" s="10">
        <f>Collections!E55</f>
        <v>0</v>
      </c>
      <c r="D55" s="10">
        <f>Expenses!AS14</f>
        <v>0</v>
      </c>
      <c r="E55" s="10">
        <f t="shared" si="2"/>
        <v>0</v>
      </c>
      <c r="F55" s="16"/>
    </row>
    <row r="56" spans="1:6" ht="15.75" thickBot="1" x14ac:dyDescent="0.25">
      <c r="A56" s="209" t="s">
        <v>90</v>
      </c>
      <c r="B56" s="209"/>
      <c r="C56" s="209"/>
      <c r="D56" s="209"/>
      <c r="E56" s="209"/>
      <c r="F56" s="209"/>
    </row>
    <row r="57" spans="1:6" x14ac:dyDescent="0.2">
      <c r="A57" s="5">
        <v>46271</v>
      </c>
      <c r="B57" s="6" t="s">
        <v>9</v>
      </c>
      <c r="C57" s="9">
        <f>Collections!E57</f>
        <v>0</v>
      </c>
      <c r="D57" s="9">
        <f>Expenses!AT14</f>
        <v>0</v>
      </c>
      <c r="E57" s="8">
        <f>C57-D57</f>
        <v>0</v>
      </c>
      <c r="F57" s="21"/>
    </row>
    <row r="58" spans="1:6" x14ac:dyDescent="0.2">
      <c r="A58" s="5">
        <v>46278</v>
      </c>
      <c r="B58" s="6" t="s">
        <v>10</v>
      </c>
      <c r="C58" s="9">
        <f>Collections!E58</f>
        <v>0</v>
      </c>
      <c r="D58" s="9">
        <f>Expenses!AU14</f>
        <v>0</v>
      </c>
      <c r="E58" s="8">
        <f>C58-D58</f>
        <v>0</v>
      </c>
      <c r="F58" s="21"/>
    </row>
    <row r="59" spans="1:6" x14ac:dyDescent="0.2">
      <c r="A59" s="5">
        <v>46285</v>
      </c>
      <c r="B59" s="6" t="s">
        <v>11</v>
      </c>
      <c r="C59" s="9">
        <f>Collections!E59</f>
        <v>0</v>
      </c>
      <c r="D59" s="9">
        <f>Expenses!AV14</f>
        <v>0</v>
      </c>
      <c r="E59" s="8">
        <f>C59-D59</f>
        <v>0</v>
      </c>
      <c r="F59" s="21"/>
    </row>
    <row r="60" spans="1:6" ht="15.75" thickBot="1" x14ac:dyDescent="0.25">
      <c r="A60" s="5">
        <v>46292</v>
      </c>
      <c r="B60" s="6" t="s">
        <v>12</v>
      </c>
      <c r="C60" s="9">
        <f>Collections!E60</f>
        <v>0</v>
      </c>
      <c r="D60" s="9">
        <f>Expenses!AW14</f>
        <v>0</v>
      </c>
      <c r="E60" s="8">
        <f>C60-D60</f>
        <v>0</v>
      </c>
      <c r="F60" s="21"/>
    </row>
    <row r="61" spans="1:6" ht="15.75" thickBot="1" x14ac:dyDescent="0.25">
      <c r="A61" s="207" t="s">
        <v>91</v>
      </c>
      <c r="B61" s="207"/>
      <c r="C61" s="10">
        <f>Collections!E61</f>
        <v>0</v>
      </c>
      <c r="D61" s="10">
        <f>Expenses!AX14</f>
        <v>0</v>
      </c>
      <c r="E61" s="10">
        <f>C61-D61</f>
        <v>0</v>
      </c>
      <c r="F61" s="16"/>
    </row>
    <row r="62" spans="1:6" ht="15.75" thickBot="1" x14ac:dyDescent="0.25">
      <c r="A62" s="209" t="s">
        <v>92</v>
      </c>
      <c r="B62" s="209"/>
      <c r="C62" s="209"/>
      <c r="D62" s="209"/>
      <c r="E62" s="209"/>
      <c r="F62" s="209"/>
    </row>
    <row r="63" spans="1:6" x14ac:dyDescent="0.2">
      <c r="A63" s="5">
        <v>46299</v>
      </c>
      <c r="B63" s="6" t="s">
        <v>9</v>
      </c>
      <c r="C63" s="9">
        <f>Collections!E63</f>
        <v>0</v>
      </c>
      <c r="D63" s="9">
        <f>Expenses!AY14</f>
        <v>0</v>
      </c>
      <c r="E63" s="8">
        <f>C63-D63</f>
        <v>0</v>
      </c>
      <c r="F63" s="21"/>
    </row>
    <row r="64" spans="1:6" x14ac:dyDescent="0.2">
      <c r="A64" s="5">
        <v>46306</v>
      </c>
      <c r="B64" s="6" t="s">
        <v>10</v>
      </c>
      <c r="C64" s="9">
        <f>Collections!E64</f>
        <v>0</v>
      </c>
      <c r="D64" s="9">
        <f>Expenses!AZ14</f>
        <v>0</v>
      </c>
      <c r="E64" s="8">
        <f>C64-D64</f>
        <v>0</v>
      </c>
      <c r="F64" s="21"/>
    </row>
    <row r="65" spans="1:6" x14ac:dyDescent="0.2">
      <c r="A65" s="5">
        <v>46313</v>
      </c>
      <c r="B65" s="6" t="s">
        <v>11</v>
      </c>
      <c r="C65" s="9">
        <f>Collections!E65</f>
        <v>0</v>
      </c>
      <c r="D65" s="9">
        <f>Expenses!BA14</f>
        <v>0</v>
      </c>
      <c r="E65" s="8">
        <f>C65-D65</f>
        <v>0</v>
      </c>
      <c r="F65" s="21"/>
    </row>
    <row r="66" spans="1:6" ht="15.75" thickBot="1" x14ac:dyDescent="0.25">
      <c r="A66" s="5">
        <v>46320</v>
      </c>
      <c r="B66" s="6" t="s">
        <v>12</v>
      </c>
      <c r="C66" s="9">
        <f>Collections!E66</f>
        <v>0</v>
      </c>
      <c r="D66" s="9">
        <f>Expenses!BB14</f>
        <v>0</v>
      </c>
      <c r="E66" s="8">
        <f>C66-D66</f>
        <v>0</v>
      </c>
      <c r="F66" s="21"/>
    </row>
    <row r="67" spans="1:6" ht="15.75" thickBot="1" x14ac:dyDescent="0.25">
      <c r="A67" s="207" t="s">
        <v>93</v>
      </c>
      <c r="B67" s="207"/>
      <c r="C67" s="10">
        <f>Collections!E67</f>
        <v>0</v>
      </c>
      <c r="D67" s="10">
        <f>Expenses!BC14</f>
        <v>0</v>
      </c>
      <c r="E67" s="10">
        <f>C67-D67</f>
        <v>0</v>
      </c>
      <c r="F67" s="16"/>
    </row>
    <row r="68" spans="1:6" ht="15.75" thickBot="1" x14ac:dyDescent="0.25">
      <c r="A68" s="209" t="s">
        <v>94</v>
      </c>
      <c r="B68" s="209"/>
      <c r="C68" s="209"/>
      <c r="D68" s="209"/>
      <c r="E68" s="209"/>
      <c r="F68" s="209"/>
    </row>
    <row r="69" spans="1:6" x14ac:dyDescent="0.2">
      <c r="A69" s="5">
        <v>46327</v>
      </c>
      <c r="B69" s="6" t="s">
        <v>9</v>
      </c>
      <c r="C69" s="9">
        <f>Collections!E69</f>
        <v>0</v>
      </c>
      <c r="D69" s="9">
        <f>Expenses!BD14</f>
        <v>0</v>
      </c>
      <c r="E69" s="8">
        <f t="shared" ref="E69:E74" si="3">C69-D69</f>
        <v>0</v>
      </c>
      <c r="F69" s="21"/>
    </row>
    <row r="70" spans="1:6" x14ac:dyDescent="0.2">
      <c r="A70" s="5">
        <v>46334</v>
      </c>
      <c r="B70" s="6" t="s">
        <v>10</v>
      </c>
      <c r="C70" s="9">
        <f>Collections!E70</f>
        <v>0</v>
      </c>
      <c r="D70" s="9">
        <f>Expenses!BE14</f>
        <v>0</v>
      </c>
      <c r="E70" s="8">
        <f t="shared" si="3"/>
        <v>0</v>
      </c>
      <c r="F70" s="21"/>
    </row>
    <row r="71" spans="1:6" x14ac:dyDescent="0.2">
      <c r="A71" s="5">
        <v>46341</v>
      </c>
      <c r="B71" s="6" t="s">
        <v>11</v>
      </c>
      <c r="C71" s="9">
        <f>Collections!E71</f>
        <v>0</v>
      </c>
      <c r="D71" s="9">
        <f>Expenses!BF14</f>
        <v>0</v>
      </c>
      <c r="E71" s="8">
        <f t="shared" si="3"/>
        <v>0</v>
      </c>
      <c r="F71" s="21"/>
    </row>
    <row r="72" spans="1:6" x14ac:dyDescent="0.2">
      <c r="A72" s="5">
        <v>46348</v>
      </c>
      <c r="B72" s="6" t="s">
        <v>12</v>
      </c>
      <c r="C72" s="9">
        <f>Collections!E72</f>
        <v>0</v>
      </c>
      <c r="D72" s="9">
        <f>Expenses!BG14</f>
        <v>0</v>
      </c>
      <c r="E72" s="8">
        <f t="shared" si="3"/>
        <v>0</v>
      </c>
      <c r="F72" s="21"/>
    </row>
    <row r="73" spans="1:6" ht="15.75" thickBot="1" x14ac:dyDescent="0.25">
      <c r="A73" s="5">
        <v>46355</v>
      </c>
      <c r="B73" s="6" t="s">
        <v>17</v>
      </c>
      <c r="C73" s="9">
        <f>Collections!E73</f>
        <v>0</v>
      </c>
      <c r="D73" s="9">
        <f>Expenses!BH14</f>
        <v>0</v>
      </c>
      <c r="E73" s="8">
        <f t="shared" si="3"/>
        <v>0</v>
      </c>
      <c r="F73" s="21"/>
    </row>
    <row r="74" spans="1:6" ht="15.75" thickBot="1" x14ac:dyDescent="0.25">
      <c r="A74" s="207" t="s">
        <v>95</v>
      </c>
      <c r="B74" s="207"/>
      <c r="C74" s="10">
        <f>Collections!E74</f>
        <v>0</v>
      </c>
      <c r="D74" s="10">
        <f>Expenses!BI14</f>
        <v>0</v>
      </c>
      <c r="E74" s="10">
        <f t="shared" si="3"/>
        <v>0</v>
      </c>
      <c r="F74" s="16"/>
    </row>
    <row r="75" spans="1:6" ht="15.75" thickBot="1" x14ac:dyDescent="0.25">
      <c r="A75" s="209" t="s">
        <v>96</v>
      </c>
      <c r="B75" s="209"/>
      <c r="C75" s="209"/>
      <c r="D75" s="209"/>
      <c r="E75" s="209"/>
      <c r="F75" s="209"/>
    </row>
    <row r="76" spans="1:6" x14ac:dyDescent="0.2">
      <c r="A76" s="5">
        <v>46362</v>
      </c>
      <c r="B76" s="6" t="s">
        <v>9</v>
      </c>
      <c r="C76" s="9">
        <f>Collections!E76</f>
        <v>0</v>
      </c>
      <c r="D76" s="9">
        <f>Expenses!BJ14</f>
        <v>0</v>
      </c>
      <c r="E76" s="8">
        <f t="shared" ref="E76:E81" si="4">C76-D76</f>
        <v>0</v>
      </c>
      <c r="F76" s="21"/>
    </row>
    <row r="77" spans="1:6" x14ac:dyDescent="0.2">
      <c r="A77" s="5">
        <v>46369</v>
      </c>
      <c r="B77" s="6" t="s">
        <v>10</v>
      </c>
      <c r="C77" s="9">
        <f>Collections!E77</f>
        <v>0</v>
      </c>
      <c r="D77" s="9">
        <f>Expenses!BK14</f>
        <v>0</v>
      </c>
      <c r="E77" s="8">
        <f t="shared" si="4"/>
        <v>0</v>
      </c>
      <c r="F77" s="21"/>
    </row>
    <row r="78" spans="1:6" x14ac:dyDescent="0.2">
      <c r="A78" s="5">
        <v>46376</v>
      </c>
      <c r="B78" s="6" t="s">
        <v>11</v>
      </c>
      <c r="C78" s="9">
        <f>Collections!E78</f>
        <v>0</v>
      </c>
      <c r="D78" s="9">
        <f>Expenses!BL14</f>
        <v>0</v>
      </c>
      <c r="E78" s="8">
        <f t="shared" si="4"/>
        <v>0</v>
      </c>
      <c r="F78" s="21"/>
    </row>
    <row r="79" spans="1:6" ht="15.75" thickBot="1" x14ac:dyDescent="0.25">
      <c r="A79" s="5">
        <v>46383</v>
      </c>
      <c r="B79" s="6" t="s">
        <v>12</v>
      </c>
      <c r="C79" s="9">
        <f>Collections!E79</f>
        <v>0</v>
      </c>
      <c r="D79" s="9">
        <f>Expenses!BM14</f>
        <v>0</v>
      </c>
      <c r="E79" s="8">
        <f t="shared" si="4"/>
        <v>0</v>
      </c>
      <c r="F79" s="21"/>
    </row>
    <row r="80" spans="1:6" ht="15.75" thickBot="1" x14ac:dyDescent="0.25">
      <c r="A80" s="207" t="s">
        <v>97</v>
      </c>
      <c r="B80" s="207"/>
      <c r="C80" s="10">
        <f>Collections!E80</f>
        <v>0</v>
      </c>
      <c r="D80" s="10">
        <f>Expenses!BN14</f>
        <v>0</v>
      </c>
      <c r="E80" s="10">
        <f t="shared" si="4"/>
        <v>0</v>
      </c>
      <c r="F80" s="16"/>
    </row>
    <row r="81" spans="1:6" ht="25.5" customHeight="1" thickBot="1" x14ac:dyDescent="0.25">
      <c r="A81" s="210" t="s">
        <v>98</v>
      </c>
      <c r="B81" s="210"/>
      <c r="C81" s="198">
        <f>Collections!E81</f>
        <v>78286.5</v>
      </c>
      <c r="D81" s="198">
        <f>Expenses!BO14</f>
        <v>173300</v>
      </c>
      <c r="E81" s="11">
        <f t="shared" si="4"/>
        <v>-95013.5</v>
      </c>
      <c r="F81" s="22"/>
    </row>
    <row r="83" spans="1:6" ht="15" customHeight="1" x14ac:dyDescent="0.2">
      <c r="A83" s="23" t="s">
        <v>99</v>
      </c>
    </row>
    <row r="84" spans="1:6" ht="15" customHeight="1" x14ac:dyDescent="0.2">
      <c r="A84" s="24" t="s">
        <v>100</v>
      </c>
      <c r="B84" s="24" t="s">
        <v>101</v>
      </c>
      <c r="C84" s="24" t="s">
        <v>102</v>
      </c>
    </row>
    <row r="85" spans="1:6" ht="15" customHeight="1" x14ac:dyDescent="0.2">
      <c r="A85" s="25" t="s">
        <v>103</v>
      </c>
      <c r="B85" s="26">
        <f>C10</f>
        <v>0</v>
      </c>
      <c r="C85" s="26">
        <f>D10</f>
        <v>0</v>
      </c>
    </row>
    <row r="86" spans="1:6" ht="15" customHeight="1" x14ac:dyDescent="0.2">
      <c r="A86" s="25" t="s">
        <v>104</v>
      </c>
      <c r="B86" s="26">
        <f>C16</f>
        <v>0</v>
      </c>
      <c r="C86" s="26">
        <f>D16</f>
        <v>0</v>
      </c>
    </row>
    <row r="87" spans="1:6" ht="15" customHeight="1" x14ac:dyDescent="0.2">
      <c r="A87" s="25" t="s">
        <v>105</v>
      </c>
      <c r="B87" s="26">
        <f>C23</f>
        <v>18770</v>
      </c>
      <c r="C87" s="26">
        <f>D23</f>
        <v>66300</v>
      </c>
    </row>
    <row r="88" spans="1:6" ht="15" customHeight="1" x14ac:dyDescent="0.2">
      <c r="A88" s="25" t="s">
        <v>106</v>
      </c>
      <c r="B88" s="26">
        <f>C29</f>
        <v>33190.5</v>
      </c>
      <c r="C88" s="26">
        <f>D29</f>
        <v>46300</v>
      </c>
    </row>
    <row r="89" spans="1:6" ht="15" customHeight="1" x14ac:dyDescent="0.2">
      <c r="A89" s="25" t="s">
        <v>107</v>
      </c>
      <c r="B89" s="26">
        <f>C36</f>
        <v>22781</v>
      </c>
      <c r="C89" s="26">
        <f>D36</f>
        <v>51000</v>
      </c>
    </row>
    <row r="90" spans="1:6" ht="15" customHeight="1" x14ac:dyDescent="0.2">
      <c r="A90" s="25" t="s">
        <v>108</v>
      </c>
      <c r="B90" s="26">
        <f>C42</f>
        <v>3545</v>
      </c>
      <c r="C90" s="26">
        <f>D42</f>
        <v>9700</v>
      </c>
    </row>
    <row r="91" spans="1:6" ht="15" customHeight="1" x14ac:dyDescent="0.2">
      <c r="A91" s="25" t="s">
        <v>109</v>
      </c>
      <c r="B91" s="26">
        <f>C48</f>
        <v>0</v>
      </c>
      <c r="C91" s="26">
        <f>D48</f>
        <v>0</v>
      </c>
    </row>
    <row r="92" spans="1:6" ht="15" customHeight="1" x14ac:dyDescent="0.2">
      <c r="A92" s="25" t="s">
        <v>110</v>
      </c>
      <c r="B92" s="26">
        <f>C55</f>
        <v>0</v>
      </c>
      <c r="C92" s="26">
        <f>D55</f>
        <v>0</v>
      </c>
    </row>
    <row r="93" spans="1:6" ht="15" customHeight="1" x14ac:dyDescent="0.2">
      <c r="A93" s="25" t="s">
        <v>111</v>
      </c>
      <c r="B93" s="26">
        <f>C61</f>
        <v>0</v>
      </c>
      <c r="C93" s="26">
        <f>D61</f>
        <v>0</v>
      </c>
    </row>
    <row r="94" spans="1:6" ht="15" customHeight="1" x14ac:dyDescent="0.2">
      <c r="A94" s="25" t="s">
        <v>112</v>
      </c>
      <c r="B94" s="26">
        <f>C67</f>
        <v>0</v>
      </c>
      <c r="C94" s="26">
        <f>D67</f>
        <v>0</v>
      </c>
    </row>
    <row r="95" spans="1:6" ht="15" customHeight="1" x14ac:dyDescent="0.2">
      <c r="A95" s="25" t="s">
        <v>113</v>
      </c>
      <c r="B95" s="26">
        <f>C74</f>
        <v>0</v>
      </c>
      <c r="C95" s="26">
        <f>D74</f>
        <v>0</v>
      </c>
    </row>
    <row r="96" spans="1:6" ht="15" customHeight="1" x14ac:dyDescent="0.2">
      <c r="A96" s="25" t="s">
        <v>114</v>
      </c>
      <c r="B96" s="26">
        <f>C80</f>
        <v>0</v>
      </c>
      <c r="C96" s="26">
        <f>D80</f>
        <v>0</v>
      </c>
    </row>
  </sheetData>
  <mergeCells count="28">
    <mergeCell ref="A80:B80"/>
    <mergeCell ref="A81:B81"/>
    <mergeCell ref="F18:F21"/>
    <mergeCell ref="A62:F62"/>
    <mergeCell ref="A67:B67"/>
    <mergeCell ref="A68:F68"/>
    <mergeCell ref="A74:B74"/>
    <mergeCell ref="A75:F75"/>
    <mergeCell ref="A48:B48"/>
    <mergeCell ref="A49:F49"/>
    <mergeCell ref="A55:B55"/>
    <mergeCell ref="A56:F56"/>
    <mergeCell ref="A61:B61"/>
    <mergeCell ref="A30:F30"/>
    <mergeCell ref="A36:B36"/>
    <mergeCell ref="A37:F37"/>
    <mergeCell ref="A42:B42"/>
    <mergeCell ref="A43:F43"/>
    <mergeCell ref="A16:B16"/>
    <mergeCell ref="A17:F17"/>
    <mergeCell ref="A23:B23"/>
    <mergeCell ref="A24:F24"/>
    <mergeCell ref="A29:B29"/>
    <mergeCell ref="A1:F1"/>
    <mergeCell ref="A2:F2"/>
    <mergeCell ref="A5:F5"/>
    <mergeCell ref="A10:B10"/>
    <mergeCell ref="A11:F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7BB2-AD6F-4AAD-8D6A-A656E23698C3}">
  <dimension ref="A1:G15"/>
  <sheetViews>
    <sheetView topLeftCell="B1" zoomScale="120" zoomScaleNormal="120" workbookViewId="0">
      <selection activeCell="H12" sqref="H12"/>
    </sheetView>
  </sheetViews>
  <sheetFormatPr defaultRowHeight="15" x14ac:dyDescent="0.2"/>
  <cols>
    <col min="2" max="2" width="10.76171875" customWidth="1"/>
    <col min="4" max="4" width="10.4921875" customWidth="1"/>
    <col min="5" max="5" width="10.22265625" customWidth="1"/>
    <col min="6" max="6" width="11.296875" customWidth="1"/>
    <col min="7" max="7" width="12.5078125" customWidth="1"/>
  </cols>
  <sheetData>
    <row r="1" spans="1:7" x14ac:dyDescent="0.2">
      <c r="B1" t="s">
        <v>301</v>
      </c>
      <c r="F1" s="190"/>
      <c r="G1" s="190">
        <v>37830</v>
      </c>
    </row>
    <row r="2" spans="1:7" x14ac:dyDescent="0.2">
      <c r="A2" t="s">
        <v>302</v>
      </c>
      <c r="B2" t="s">
        <v>303</v>
      </c>
      <c r="D2" s="188">
        <v>46095</v>
      </c>
      <c r="F2" s="190">
        <v>20600</v>
      </c>
      <c r="G2" s="190"/>
    </row>
    <row r="3" spans="1:7" x14ac:dyDescent="0.2">
      <c r="D3" s="189">
        <v>46116</v>
      </c>
      <c r="F3" s="190">
        <v>35550</v>
      </c>
      <c r="G3" s="199">
        <f>F2+F3</f>
        <v>56150</v>
      </c>
    </row>
    <row r="4" spans="1:7" x14ac:dyDescent="0.2">
      <c r="B4" t="s">
        <v>304</v>
      </c>
      <c r="F4" s="190"/>
      <c r="G4" s="190">
        <f>G1+G3</f>
        <v>93980</v>
      </c>
    </row>
    <row r="5" spans="1:7" x14ac:dyDescent="0.2">
      <c r="B5" t="s">
        <v>305</v>
      </c>
      <c r="F5" s="190">
        <v>91000</v>
      </c>
      <c r="G5" s="190"/>
    </row>
    <row r="6" spans="1:7" x14ac:dyDescent="0.2">
      <c r="B6" t="s">
        <v>306</v>
      </c>
      <c r="F6" s="190"/>
      <c r="G6" s="190">
        <f>G4-F5</f>
        <v>2980</v>
      </c>
    </row>
    <row r="7" spans="1:7" x14ac:dyDescent="0.2">
      <c r="B7" s="195" t="s">
        <v>307</v>
      </c>
      <c r="C7" s="191"/>
      <c r="F7" s="190"/>
      <c r="G7" s="190"/>
    </row>
    <row r="8" spans="1:7" x14ac:dyDescent="0.2">
      <c r="F8" s="190"/>
      <c r="G8" s="190"/>
    </row>
    <row r="9" spans="1:7" x14ac:dyDescent="0.2">
      <c r="B9" t="s">
        <v>308</v>
      </c>
      <c r="C9" s="71"/>
      <c r="D9" s="190"/>
      <c r="E9" s="190">
        <v>1820</v>
      </c>
      <c r="F9" s="190"/>
      <c r="G9" s="190"/>
    </row>
    <row r="10" spans="1:7" x14ac:dyDescent="0.2">
      <c r="B10" t="s">
        <v>175</v>
      </c>
      <c r="C10" s="71"/>
      <c r="D10" s="190"/>
      <c r="E10" s="190">
        <v>360</v>
      </c>
      <c r="F10" s="190"/>
      <c r="G10" s="190"/>
    </row>
    <row r="11" spans="1:7" x14ac:dyDescent="0.2">
      <c r="B11" t="s">
        <v>310</v>
      </c>
      <c r="D11" s="190"/>
      <c r="E11" s="190"/>
      <c r="F11" s="190"/>
      <c r="G11" s="190"/>
    </row>
    <row r="12" spans="1:7" x14ac:dyDescent="0.2">
      <c r="C12" t="s">
        <v>311</v>
      </c>
      <c r="D12" s="190">
        <v>1500</v>
      </c>
      <c r="E12" s="190"/>
    </row>
    <row r="13" spans="1:7" x14ac:dyDescent="0.2">
      <c r="C13" t="s">
        <v>312</v>
      </c>
      <c r="D13" s="190">
        <v>1300</v>
      </c>
      <c r="E13" s="190"/>
    </row>
    <row r="14" spans="1:7" x14ac:dyDescent="0.2">
      <c r="C14" t="s">
        <v>313</v>
      </c>
      <c r="D14" s="190">
        <v>300</v>
      </c>
      <c r="E14" s="190"/>
    </row>
    <row r="15" spans="1:7" x14ac:dyDescent="0.2">
      <c r="D15" s="196" t="s">
        <v>162</v>
      </c>
      <c r="E15" s="190">
        <f>D12+D13+D14+E9+E10</f>
        <v>5280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topLeftCell="A61" zoomScaleNormal="100" workbookViewId="0">
      <selection sqref="A1:XFD1048576"/>
    </sheetView>
  </sheetViews>
  <sheetFormatPr defaultColWidth="8.7421875" defaultRowHeight="15" x14ac:dyDescent="0.2"/>
  <cols>
    <col min="1" max="1" width="13.98828125" customWidth="1"/>
    <col min="2" max="6" width="18.0234375" customWidth="1"/>
  </cols>
  <sheetData>
    <row r="1" spans="1:6" ht="36" customHeight="1" x14ac:dyDescent="0.2">
      <c r="A1" s="214" t="s">
        <v>115</v>
      </c>
      <c r="B1" s="214"/>
      <c r="C1" s="214"/>
      <c r="D1" s="214"/>
      <c r="E1" s="214"/>
      <c r="F1" s="214"/>
    </row>
    <row r="2" spans="1:6" ht="18" customHeight="1" x14ac:dyDescent="0.2">
      <c r="A2" s="215" t="s">
        <v>116</v>
      </c>
      <c r="B2" s="215"/>
      <c r="C2" s="215"/>
      <c r="D2" s="215"/>
      <c r="E2" s="215"/>
      <c r="F2" s="215"/>
    </row>
    <row r="3" spans="1:6" ht="9.75" customHeight="1" x14ac:dyDescent="0.2"/>
    <row r="4" spans="1:6" ht="21.75" customHeight="1" x14ac:dyDescent="0.2">
      <c r="A4" s="27" t="s">
        <v>100</v>
      </c>
      <c r="B4" s="27" t="s">
        <v>101</v>
      </c>
      <c r="C4" s="27" t="s">
        <v>102</v>
      </c>
      <c r="D4" s="27" t="s">
        <v>117</v>
      </c>
      <c r="E4" s="27" t="s">
        <v>118</v>
      </c>
      <c r="F4" s="27" t="s">
        <v>119</v>
      </c>
    </row>
    <row r="5" spans="1:6" ht="18" customHeight="1" x14ac:dyDescent="0.2">
      <c r="A5" s="28" t="s">
        <v>106</v>
      </c>
      <c r="B5" s="29">
        <f>Collections!E29</f>
        <v>33190.5</v>
      </c>
      <c r="C5" s="29">
        <f>Expenses!W14</f>
        <v>46300</v>
      </c>
      <c r="D5" s="29">
        <f>'Draft Budget'!D14</f>
        <v>0</v>
      </c>
      <c r="E5" s="29">
        <f>'Draft Budget'!D54</f>
        <v>135800</v>
      </c>
      <c r="F5" s="29">
        <f t="shared" ref="F5:F16" si="0">B5-C5</f>
        <v>-13109.5</v>
      </c>
    </row>
    <row r="6" spans="1:6" ht="18" customHeight="1" x14ac:dyDescent="0.2">
      <c r="A6" s="30" t="s">
        <v>107</v>
      </c>
      <c r="B6" s="31">
        <f>Collections!E36</f>
        <v>22781</v>
      </c>
      <c r="C6" s="31">
        <f>Expenses!AC14</f>
        <v>51000</v>
      </c>
      <c r="D6" s="31">
        <f>'Draft Budget'!E14</f>
        <v>0</v>
      </c>
      <c r="E6" s="31">
        <f>'Draft Budget'!E54</f>
        <v>0</v>
      </c>
      <c r="F6" s="31">
        <f t="shared" si="0"/>
        <v>-28219</v>
      </c>
    </row>
    <row r="7" spans="1:6" ht="18" customHeight="1" x14ac:dyDescent="0.2">
      <c r="A7" s="28" t="s">
        <v>108</v>
      </c>
      <c r="B7" s="29">
        <f>Collections!E42</f>
        <v>3545</v>
      </c>
      <c r="C7" s="29">
        <f>Expenses!AH14</f>
        <v>9700</v>
      </c>
      <c r="D7" s="29">
        <f>'Draft Budget'!F14</f>
        <v>0</v>
      </c>
      <c r="E7" s="29">
        <f>'Draft Budget'!F54</f>
        <v>0</v>
      </c>
      <c r="F7" s="29">
        <f t="shared" si="0"/>
        <v>-6155</v>
      </c>
    </row>
    <row r="8" spans="1:6" ht="18" customHeight="1" x14ac:dyDescent="0.2">
      <c r="A8" s="30" t="s">
        <v>109</v>
      </c>
      <c r="B8" s="31">
        <f>Collections!E48</f>
        <v>0</v>
      </c>
      <c r="C8" s="31">
        <f>Expenses!AM14</f>
        <v>0</v>
      </c>
      <c r="D8" s="31">
        <f>'Draft Budget'!G14</f>
        <v>0</v>
      </c>
      <c r="E8" s="31">
        <f>'Draft Budget'!G54</f>
        <v>0</v>
      </c>
      <c r="F8" s="31">
        <f t="shared" si="0"/>
        <v>0</v>
      </c>
    </row>
    <row r="9" spans="1:6" ht="18" customHeight="1" x14ac:dyDescent="0.2">
      <c r="A9" s="28" t="s">
        <v>110</v>
      </c>
      <c r="B9" s="29">
        <f>Collections!E55</f>
        <v>0</v>
      </c>
      <c r="C9" s="29">
        <f>Expenses!AS14</f>
        <v>0</v>
      </c>
      <c r="D9" s="29">
        <f>'Draft Budget'!H14</f>
        <v>0</v>
      </c>
      <c r="E9" s="29">
        <f>'Draft Budget'!H54</f>
        <v>0</v>
      </c>
      <c r="F9" s="29">
        <f t="shared" si="0"/>
        <v>0</v>
      </c>
    </row>
    <row r="10" spans="1:6" ht="18" customHeight="1" x14ac:dyDescent="0.2">
      <c r="A10" s="30" t="s">
        <v>111</v>
      </c>
      <c r="B10" s="31">
        <f>Collections!E61</f>
        <v>0</v>
      </c>
      <c r="C10" s="31">
        <f>Expenses!AX14</f>
        <v>0</v>
      </c>
      <c r="D10" s="31">
        <f>'Draft Budget'!I14</f>
        <v>0</v>
      </c>
      <c r="E10" s="31">
        <f>'Draft Budget'!I54</f>
        <v>0</v>
      </c>
      <c r="F10" s="31">
        <f t="shared" si="0"/>
        <v>0</v>
      </c>
    </row>
    <row r="11" spans="1:6" ht="18" customHeight="1" x14ac:dyDescent="0.2">
      <c r="A11" s="28" t="s">
        <v>112</v>
      </c>
      <c r="B11" s="29">
        <f>Collections!E67</f>
        <v>0</v>
      </c>
      <c r="C11" s="29">
        <f>Expenses!BC14</f>
        <v>0</v>
      </c>
      <c r="D11" s="29">
        <f>'Draft Budget'!J14</f>
        <v>0</v>
      </c>
      <c r="E11" s="29">
        <f>'Draft Budget'!J54</f>
        <v>0</v>
      </c>
      <c r="F11" s="29">
        <f t="shared" si="0"/>
        <v>0</v>
      </c>
    </row>
    <row r="12" spans="1:6" ht="18" customHeight="1" x14ac:dyDescent="0.2">
      <c r="A12" s="30" t="s">
        <v>113</v>
      </c>
      <c r="B12" s="31">
        <f>Collections!E74</f>
        <v>0</v>
      </c>
      <c r="C12" s="31">
        <f>Expenses!BI14</f>
        <v>0</v>
      </c>
      <c r="D12" s="31">
        <f>'Draft Budget'!K14</f>
        <v>0</v>
      </c>
      <c r="E12" s="31">
        <f>'Draft Budget'!K54</f>
        <v>0</v>
      </c>
      <c r="F12" s="31">
        <f t="shared" si="0"/>
        <v>0</v>
      </c>
    </row>
    <row r="13" spans="1:6" ht="18" customHeight="1" x14ac:dyDescent="0.2">
      <c r="A13" s="28" t="s">
        <v>114</v>
      </c>
      <c r="B13" s="29">
        <f>Collections!E80</f>
        <v>0</v>
      </c>
      <c r="C13" s="29">
        <f>Expenses!BN14</f>
        <v>0</v>
      </c>
      <c r="D13" s="29">
        <f>'Draft Budget'!L14</f>
        <v>0</v>
      </c>
      <c r="E13" s="29">
        <f>'Draft Budget'!L54</f>
        <v>0</v>
      </c>
      <c r="F13" s="29">
        <f t="shared" si="0"/>
        <v>0</v>
      </c>
    </row>
    <row r="14" spans="1:6" ht="18" customHeight="1" x14ac:dyDescent="0.2">
      <c r="A14" s="30" t="s">
        <v>103</v>
      </c>
      <c r="B14" s="31">
        <f>Collections!E10</f>
        <v>0</v>
      </c>
      <c r="C14" s="31">
        <f>Expenses!G14</f>
        <v>0</v>
      </c>
      <c r="D14" s="31">
        <f>'Draft Budget'!M14</f>
        <v>0</v>
      </c>
      <c r="E14" s="31">
        <f>'Draft Budget'!M54</f>
        <v>0</v>
      </c>
      <c r="F14" s="31">
        <f t="shared" si="0"/>
        <v>0</v>
      </c>
    </row>
    <row r="15" spans="1:6" ht="18" customHeight="1" x14ac:dyDescent="0.2">
      <c r="A15" s="28" t="s">
        <v>104</v>
      </c>
      <c r="B15" s="29">
        <f>Collections!E16</f>
        <v>0</v>
      </c>
      <c r="C15" s="29">
        <f>Expenses!L14</f>
        <v>0</v>
      </c>
      <c r="D15" s="29">
        <f>'Draft Budget'!N14</f>
        <v>0</v>
      </c>
      <c r="E15" s="29">
        <f>'Draft Budget'!N54</f>
        <v>0</v>
      </c>
      <c r="F15" s="29">
        <f t="shared" si="0"/>
        <v>0</v>
      </c>
    </row>
    <row r="16" spans="1:6" ht="18" customHeight="1" x14ac:dyDescent="0.2">
      <c r="A16" s="30" t="s">
        <v>105</v>
      </c>
      <c r="B16" s="31">
        <f>Collections!E23</f>
        <v>18770</v>
      </c>
      <c r="C16" s="31">
        <f>Expenses!R14</f>
        <v>66300</v>
      </c>
      <c r="D16" s="31">
        <f>'Draft Budget'!O14</f>
        <v>0</v>
      </c>
      <c r="E16" s="31">
        <f>'Draft Budget'!O54</f>
        <v>0</v>
      </c>
      <c r="F16" s="31">
        <f t="shared" si="0"/>
        <v>-47530</v>
      </c>
    </row>
    <row r="17" spans="1:6" ht="19.5" customHeight="1" x14ac:dyDescent="0.2">
      <c r="A17" s="32" t="s">
        <v>61</v>
      </c>
      <c r="B17" s="33">
        <f>SUM(B5:B16)</f>
        <v>78286.5</v>
      </c>
      <c r="C17" s="33">
        <f>SUM(C5:C16)</f>
        <v>173300</v>
      </c>
      <c r="D17" s="33">
        <f>SUM(D5:D16)</f>
        <v>0</v>
      </c>
      <c r="E17" s="33">
        <f>SUM(E5:E16)</f>
        <v>135800</v>
      </c>
      <c r="F17" s="33">
        <f>SUM(F5:F16)</f>
        <v>-95013.5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6"/>
  <sheetViews>
    <sheetView zoomScaleNormal="100" workbookViewId="0">
      <selection activeCell="D11" sqref="D11"/>
    </sheetView>
  </sheetViews>
  <sheetFormatPr defaultColWidth="8.7421875" defaultRowHeight="15" x14ac:dyDescent="0.2"/>
  <cols>
    <col min="1" max="1" width="23.9453125" customWidth="1"/>
    <col min="2" max="8" width="16.94921875" customWidth="1"/>
  </cols>
  <sheetData>
    <row r="1" spans="1:8" ht="42" customHeight="1" x14ac:dyDescent="0.2">
      <c r="A1" s="216" t="s">
        <v>38</v>
      </c>
      <c r="B1" s="216"/>
      <c r="C1" s="216"/>
      <c r="D1" s="216"/>
      <c r="E1" s="216"/>
      <c r="F1" s="216"/>
      <c r="G1" s="216"/>
      <c r="H1" s="216"/>
    </row>
    <row r="2" spans="1:8" ht="24" customHeight="1" x14ac:dyDescent="0.2">
      <c r="A2" s="217" t="s">
        <v>120</v>
      </c>
      <c r="B2" s="217"/>
      <c r="C2" s="217"/>
      <c r="D2" s="217"/>
      <c r="E2" s="217"/>
      <c r="F2" s="217"/>
      <c r="G2" s="217"/>
      <c r="H2" s="217"/>
    </row>
    <row r="3" spans="1:8" ht="12" customHeight="1" x14ac:dyDescent="0.2"/>
    <row r="4" spans="1:8" ht="21.75" customHeight="1" x14ac:dyDescent="0.2">
      <c r="A4" s="218" t="s">
        <v>121</v>
      </c>
      <c r="B4" s="218"/>
      <c r="C4" s="219" t="s">
        <v>122</v>
      </c>
      <c r="D4" s="219"/>
      <c r="E4" s="220" t="s">
        <v>123</v>
      </c>
      <c r="F4" s="220"/>
      <c r="G4" s="221" t="s">
        <v>124</v>
      </c>
      <c r="H4" s="221"/>
    </row>
    <row r="5" spans="1:8" ht="21.75" customHeight="1" x14ac:dyDescent="0.2">
      <c r="A5" s="226">
        <f>Collections!E81</f>
        <v>78286.5</v>
      </c>
      <c r="B5" s="226"/>
      <c r="C5" s="227">
        <f>Expenses!BO14</f>
        <v>173300</v>
      </c>
      <c r="D5" s="227"/>
      <c r="E5" s="228">
        <f>Collections!E81-Expenses!BO14</f>
        <v>-95013.5</v>
      </c>
      <c r="F5" s="228"/>
      <c r="G5" s="229">
        <f>SUM(Arrears!E5:E20)</f>
        <v>233500</v>
      </c>
      <c r="H5" s="229"/>
    </row>
    <row r="6" spans="1:8" ht="21.75" customHeight="1" x14ac:dyDescent="0.2">
      <c r="A6" s="226"/>
      <c r="B6" s="226"/>
      <c r="C6" s="227"/>
      <c r="D6" s="227"/>
      <c r="E6" s="228"/>
      <c r="F6" s="228"/>
      <c r="G6" s="229"/>
      <c r="H6" s="229"/>
    </row>
    <row r="7" spans="1:8" ht="21.75" customHeight="1" x14ac:dyDescent="0.2">
      <c r="A7" s="226"/>
      <c r="B7" s="226"/>
      <c r="C7" s="227"/>
      <c r="D7" s="227"/>
      <c r="E7" s="228"/>
      <c r="F7" s="228"/>
      <c r="G7" s="229"/>
      <c r="H7" s="229"/>
    </row>
    <row r="9" spans="1:8" ht="21.75" customHeight="1" x14ac:dyDescent="0.2">
      <c r="A9" s="230" t="s">
        <v>125</v>
      </c>
      <c r="B9" s="230"/>
      <c r="C9" s="230"/>
      <c r="D9" s="230"/>
      <c r="E9" s="230"/>
      <c r="F9" s="230"/>
      <c r="G9" s="230"/>
      <c r="H9" s="230"/>
    </row>
    <row r="10" spans="1:8" ht="31.5" customHeight="1" x14ac:dyDescent="0.2">
      <c r="A10" s="34" t="s">
        <v>100</v>
      </c>
      <c r="B10" s="34" t="s">
        <v>126</v>
      </c>
      <c r="C10" s="34" t="s">
        <v>127</v>
      </c>
      <c r="D10" s="34" t="s">
        <v>128</v>
      </c>
      <c r="E10" s="34" t="s">
        <v>129</v>
      </c>
      <c r="F10" s="34" t="s">
        <v>130</v>
      </c>
      <c r="G10" s="34" t="s">
        <v>131</v>
      </c>
      <c r="H10" s="34" t="s">
        <v>132</v>
      </c>
    </row>
    <row r="11" spans="1:8" ht="18" customHeight="1" x14ac:dyDescent="0.2">
      <c r="A11" s="35" t="s">
        <v>106</v>
      </c>
      <c r="B11" s="36">
        <f>'Draft Budget'!D14</f>
        <v>0</v>
      </c>
      <c r="C11" s="36">
        <f>Collections!E29</f>
        <v>33190.5</v>
      </c>
      <c r="D11" s="36">
        <f>Expenses!W14</f>
        <v>46300</v>
      </c>
      <c r="E11" s="37">
        <f t="shared" ref="E11:E22" si="0">C11-D11</f>
        <v>-13109.5</v>
      </c>
      <c r="F11" s="36">
        <f t="shared" ref="F11:F22" si="1">B11-D11</f>
        <v>-46300</v>
      </c>
      <c r="G11" s="36">
        <f t="shared" ref="G11:G22" si="2">C11-B11</f>
        <v>33190.5</v>
      </c>
      <c r="H11" s="38" t="str">
        <f t="shared" ref="H11:H22" si="3">IF(E11&gt;=F11,"✓ On Track","▼ Behind")</f>
        <v>✓ On Track</v>
      </c>
    </row>
    <row r="12" spans="1:8" ht="18" customHeight="1" x14ac:dyDescent="0.2">
      <c r="A12" s="39" t="s">
        <v>107</v>
      </c>
      <c r="B12" s="31">
        <f>'Draft Budget'!E14</f>
        <v>0</v>
      </c>
      <c r="C12" s="31">
        <f>Collections!E36</f>
        <v>22781</v>
      </c>
      <c r="D12" s="31">
        <f>Expenses!AC14</f>
        <v>51000</v>
      </c>
      <c r="E12" s="40">
        <f t="shared" si="0"/>
        <v>-28219</v>
      </c>
      <c r="F12" s="31">
        <f t="shared" si="1"/>
        <v>-51000</v>
      </c>
      <c r="G12" s="31">
        <f t="shared" si="2"/>
        <v>22781</v>
      </c>
      <c r="H12" s="41" t="str">
        <f t="shared" si="3"/>
        <v>✓ On Track</v>
      </c>
    </row>
    <row r="13" spans="1:8" ht="18" customHeight="1" x14ac:dyDescent="0.2">
      <c r="A13" s="35" t="s">
        <v>108</v>
      </c>
      <c r="B13" s="36">
        <f>'Draft Budget'!F14</f>
        <v>0</v>
      </c>
      <c r="C13" s="36">
        <f>Collections!E42</f>
        <v>3545</v>
      </c>
      <c r="D13" s="36">
        <f>Expenses!AH14</f>
        <v>9700</v>
      </c>
      <c r="E13" s="37">
        <f t="shared" si="0"/>
        <v>-6155</v>
      </c>
      <c r="F13" s="36">
        <f t="shared" si="1"/>
        <v>-9700</v>
      </c>
      <c r="G13" s="36">
        <f t="shared" si="2"/>
        <v>3545</v>
      </c>
      <c r="H13" s="38" t="str">
        <f t="shared" si="3"/>
        <v>✓ On Track</v>
      </c>
    </row>
    <row r="14" spans="1:8" ht="18" customHeight="1" x14ac:dyDescent="0.2">
      <c r="A14" s="39" t="s">
        <v>109</v>
      </c>
      <c r="B14" s="31">
        <f>'Draft Budget'!G14</f>
        <v>0</v>
      </c>
      <c r="C14" s="31">
        <f>Collections!E48</f>
        <v>0</v>
      </c>
      <c r="D14" s="31">
        <f>Expenses!AM14</f>
        <v>0</v>
      </c>
      <c r="E14" s="40">
        <f t="shared" si="0"/>
        <v>0</v>
      </c>
      <c r="F14" s="31">
        <f t="shared" si="1"/>
        <v>0</v>
      </c>
      <c r="G14" s="31">
        <f t="shared" si="2"/>
        <v>0</v>
      </c>
      <c r="H14" s="41" t="str">
        <f t="shared" si="3"/>
        <v>✓ On Track</v>
      </c>
    </row>
    <row r="15" spans="1:8" ht="18" customHeight="1" x14ac:dyDescent="0.2">
      <c r="A15" s="35" t="s">
        <v>110</v>
      </c>
      <c r="B15" s="36">
        <f>'Draft Budget'!H14</f>
        <v>0</v>
      </c>
      <c r="C15" s="36">
        <f>Collections!E55</f>
        <v>0</v>
      </c>
      <c r="D15" s="36">
        <f>Expenses!AS14</f>
        <v>0</v>
      </c>
      <c r="E15" s="37">
        <f t="shared" si="0"/>
        <v>0</v>
      </c>
      <c r="F15" s="36">
        <f t="shared" si="1"/>
        <v>0</v>
      </c>
      <c r="G15" s="36">
        <f t="shared" si="2"/>
        <v>0</v>
      </c>
      <c r="H15" s="38" t="str">
        <f t="shared" si="3"/>
        <v>✓ On Track</v>
      </c>
    </row>
    <row r="16" spans="1:8" ht="18" customHeight="1" x14ac:dyDescent="0.2">
      <c r="A16" s="39" t="s">
        <v>111</v>
      </c>
      <c r="B16" s="31">
        <f>'Draft Budget'!I14</f>
        <v>0</v>
      </c>
      <c r="C16" s="31">
        <f>Collections!E61</f>
        <v>0</v>
      </c>
      <c r="D16" s="31">
        <f>Expenses!AX14</f>
        <v>0</v>
      </c>
      <c r="E16" s="40">
        <f t="shared" si="0"/>
        <v>0</v>
      </c>
      <c r="F16" s="31">
        <f t="shared" si="1"/>
        <v>0</v>
      </c>
      <c r="G16" s="31">
        <f t="shared" si="2"/>
        <v>0</v>
      </c>
      <c r="H16" s="41" t="str">
        <f t="shared" si="3"/>
        <v>✓ On Track</v>
      </c>
    </row>
    <row r="17" spans="1:8" ht="18" customHeight="1" x14ac:dyDescent="0.2">
      <c r="A17" s="35" t="s">
        <v>112</v>
      </c>
      <c r="B17" s="36">
        <f>'Draft Budget'!J14</f>
        <v>0</v>
      </c>
      <c r="C17" s="36">
        <f>Collections!E67</f>
        <v>0</v>
      </c>
      <c r="D17" s="36">
        <f>Expenses!BC14</f>
        <v>0</v>
      </c>
      <c r="E17" s="37">
        <f t="shared" si="0"/>
        <v>0</v>
      </c>
      <c r="F17" s="36">
        <f t="shared" si="1"/>
        <v>0</v>
      </c>
      <c r="G17" s="36">
        <f t="shared" si="2"/>
        <v>0</v>
      </c>
      <c r="H17" s="38" t="str">
        <f t="shared" si="3"/>
        <v>✓ On Track</v>
      </c>
    </row>
    <row r="18" spans="1:8" ht="18" customHeight="1" x14ac:dyDescent="0.2">
      <c r="A18" s="39" t="s">
        <v>113</v>
      </c>
      <c r="B18" s="31">
        <f>'Draft Budget'!K14</f>
        <v>0</v>
      </c>
      <c r="C18" s="31">
        <f>Collections!E74</f>
        <v>0</v>
      </c>
      <c r="D18" s="31">
        <f>Expenses!BI14</f>
        <v>0</v>
      </c>
      <c r="E18" s="40">
        <f t="shared" si="0"/>
        <v>0</v>
      </c>
      <c r="F18" s="31">
        <f t="shared" si="1"/>
        <v>0</v>
      </c>
      <c r="G18" s="31">
        <f t="shared" si="2"/>
        <v>0</v>
      </c>
      <c r="H18" s="41" t="str">
        <f t="shared" si="3"/>
        <v>✓ On Track</v>
      </c>
    </row>
    <row r="19" spans="1:8" ht="18" customHeight="1" x14ac:dyDescent="0.2">
      <c r="A19" s="35" t="s">
        <v>114</v>
      </c>
      <c r="B19" s="36">
        <f>'Draft Budget'!L14</f>
        <v>0</v>
      </c>
      <c r="C19" s="36">
        <f>Collections!E80</f>
        <v>0</v>
      </c>
      <c r="D19" s="36">
        <f>Expenses!BN14</f>
        <v>0</v>
      </c>
      <c r="E19" s="37">
        <f t="shared" si="0"/>
        <v>0</v>
      </c>
      <c r="F19" s="36">
        <f t="shared" si="1"/>
        <v>0</v>
      </c>
      <c r="G19" s="36">
        <f t="shared" si="2"/>
        <v>0</v>
      </c>
      <c r="H19" s="38" t="str">
        <f t="shared" si="3"/>
        <v>✓ On Track</v>
      </c>
    </row>
    <row r="20" spans="1:8" ht="18" customHeight="1" x14ac:dyDescent="0.2">
      <c r="A20" s="39" t="s">
        <v>103</v>
      </c>
      <c r="B20" s="31">
        <f>'Draft Budget'!M14</f>
        <v>0</v>
      </c>
      <c r="C20" s="31">
        <f>Collections!E10</f>
        <v>0</v>
      </c>
      <c r="D20" s="31">
        <f>Expenses!G14</f>
        <v>0</v>
      </c>
      <c r="E20" s="40">
        <f t="shared" si="0"/>
        <v>0</v>
      </c>
      <c r="F20" s="31">
        <f t="shared" si="1"/>
        <v>0</v>
      </c>
      <c r="G20" s="31">
        <f t="shared" si="2"/>
        <v>0</v>
      </c>
      <c r="H20" s="41" t="str">
        <f t="shared" si="3"/>
        <v>✓ On Track</v>
      </c>
    </row>
    <row r="21" spans="1:8" ht="18" customHeight="1" x14ac:dyDescent="0.2">
      <c r="A21" s="35" t="s">
        <v>104</v>
      </c>
      <c r="B21" s="36">
        <f>'Draft Budget'!N14</f>
        <v>0</v>
      </c>
      <c r="C21" s="36">
        <f>Collections!E16</f>
        <v>0</v>
      </c>
      <c r="D21" s="36">
        <f>Expenses!L14</f>
        <v>0</v>
      </c>
      <c r="E21" s="37">
        <f t="shared" si="0"/>
        <v>0</v>
      </c>
      <c r="F21" s="36">
        <f t="shared" si="1"/>
        <v>0</v>
      </c>
      <c r="G21" s="36">
        <f t="shared" si="2"/>
        <v>0</v>
      </c>
      <c r="H21" s="38" t="str">
        <f t="shared" si="3"/>
        <v>✓ On Track</v>
      </c>
    </row>
    <row r="22" spans="1:8" ht="18" customHeight="1" x14ac:dyDescent="0.2">
      <c r="A22" s="39" t="s">
        <v>105</v>
      </c>
      <c r="B22" s="31">
        <f>'Draft Budget'!O14</f>
        <v>0</v>
      </c>
      <c r="C22" s="31">
        <f>Collections!E23</f>
        <v>18770</v>
      </c>
      <c r="D22" s="31">
        <f>Expenses!R14</f>
        <v>66300</v>
      </c>
      <c r="E22" s="40">
        <f t="shared" si="0"/>
        <v>-47530</v>
      </c>
      <c r="F22" s="31">
        <f t="shared" si="1"/>
        <v>-66300</v>
      </c>
      <c r="G22" s="31">
        <f t="shared" si="2"/>
        <v>18770</v>
      </c>
      <c r="H22" s="41" t="str">
        <f t="shared" si="3"/>
        <v>✓ On Track</v>
      </c>
    </row>
    <row r="23" spans="1:8" ht="19.5" customHeight="1" x14ac:dyDescent="0.2">
      <c r="A23" s="42" t="s">
        <v>53</v>
      </c>
      <c r="B23" s="33">
        <f t="shared" ref="B23:G23" si="4">SUM(B11:B22)</f>
        <v>0</v>
      </c>
      <c r="C23" s="33">
        <f t="shared" si="4"/>
        <v>78286.5</v>
      </c>
      <c r="D23" s="33">
        <f t="shared" si="4"/>
        <v>173300</v>
      </c>
      <c r="E23" s="33">
        <f t="shared" si="4"/>
        <v>-95013.5</v>
      </c>
      <c r="F23" s="33">
        <f t="shared" si="4"/>
        <v>-173300</v>
      </c>
      <c r="G23" s="33">
        <f t="shared" si="4"/>
        <v>78286.5</v>
      </c>
      <c r="H23" s="42"/>
    </row>
    <row r="25" spans="1:8" ht="21.75" customHeight="1" x14ac:dyDescent="0.2">
      <c r="A25" s="222" t="s">
        <v>133</v>
      </c>
      <c r="B25" s="222"/>
      <c r="C25" s="222"/>
      <c r="D25" s="222"/>
      <c r="E25" s="222"/>
      <c r="F25" s="222"/>
      <c r="G25" s="222"/>
      <c r="H25" s="222"/>
    </row>
    <row r="26" spans="1:8" ht="27.75" customHeight="1" x14ac:dyDescent="0.2">
      <c r="A26" s="43" t="s">
        <v>134</v>
      </c>
      <c r="B26" s="43" t="s">
        <v>135</v>
      </c>
      <c r="C26" s="43" t="s">
        <v>136</v>
      </c>
      <c r="D26" s="43" t="s">
        <v>137</v>
      </c>
      <c r="E26" s="43" t="s">
        <v>138</v>
      </c>
      <c r="F26" s="43"/>
      <c r="G26" s="43" t="s">
        <v>132</v>
      </c>
      <c r="H26" s="43" t="s">
        <v>73</v>
      </c>
    </row>
    <row r="27" spans="1:8" ht="18" customHeight="1" x14ac:dyDescent="0.2">
      <c r="A27" s="39" t="str">
        <f>Arrears!A5</f>
        <v>Sanitary Bins &amp; detergent</v>
      </c>
      <c r="B27" s="44" t="str">
        <f>Arrears!B5</f>
        <v>Jan – Mar 2026</v>
      </c>
      <c r="C27" s="31">
        <f>Arrears!C5</f>
        <v>3500</v>
      </c>
      <c r="D27" s="31">
        <f>Arrears!D5</f>
        <v>0</v>
      </c>
      <c r="E27" s="45">
        <f>Arrears!E5</f>
        <v>3500</v>
      </c>
      <c r="F27" s="46"/>
      <c r="G27" s="41" t="str">
        <f>Arrears!G5</f>
        <v>⚠ UNPAID</v>
      </c>
      <c r="H27" s="47" t="str">
        <f>Arrears!I5</f>
        <v>NB – KES 3,500 unpaid</v>
      </c>
    </row>
    <row r="28" spans="1:8" ht="18" customHeight="1" x14ac:dyDescent="0.2">
      <c r="A28" s="48" t="str">
        <f>Arrears!A6</f>
        <v>Rent</v>
      </c>
      <c r="B28" s="49" t="str">
        <f>Arrears!B6</f>
        <v>Nov – Dec 2025</v>
      </c>
      <c r="C28" s="50">
        <f>Arrears!C6</f>
        <v>95000</v>
      </c>
      <c r="D28" s="50">
        <f>Arrears!D6</f>
        <v>0</v>
      </c>
      <c r="E28" s="51">
        <f>Arrears!E6</f>
        <v>95000</v>
      </c>
      <c r="F28" s="52"/>
      <c r="G28" s="53" t="str">
        <f>Arrears!G6</f>
        <v>⚠ UNPAID</v>
      </c>
      <c r="H28" s="54" t="str">
        <f>Arrears!I6</f>
        <v>Arrears outstanding</v>
      </c>
    </row>
    <row r="29" spans="1:8" ht="18" customHeight="1" x14ac:dyDescent="0.2">
      <c r="A29" s="39" t="str">
        <f>Arrears!A7</f>
        <v>Beisa Hotel</v>
      </c>
      <c r="B29" s="44" t="str">
        <f>Arrears!B7</f>
        <v>2025</v>
      </c>
      <c r="C29" s="31">
        <f>Arrears!C7</f>
        <v>20000</v>
      </c>
      <c r="D29" s="31">
        <f>Arrears!D7</f>
        <v>0</v>
      </c>
      <c r="E29" s="45">
        <f>Arrears!E7</f>
        <v>20000</v>
      </c>
      <c r="F29" s="46"/>
      <c r="G29" s="41" t="str">
        <f>Arrears!G7</f>
        <v>⚠ UNPAID</v>
      </c>
      <c r="H29" s="47" t="str">
        <f>Arrears!I7</f>
        <v>Arrears outstanding</v>
      </c>
    </row>
    <row r="30" spans="1:8" ht="18" customHeight="1" x14ac:dyDescent="0.2">
      <c r="A30" s="48" t="str">
        <f>Arrears!A8</f>
        <v>Iserve</v>
      </c>
      <c r="B30" s="49" t="str">
        <f>Arrears!B8</f>
        <v>2025</v>
      </c>
      <c r="C30" s="50">
        <f>Arrears!C8</f>
        <v>60000</v>
      </c>
      <c r="D30" s="50">
        <f>Arrears!D8</f>
        <v>0</v>
      </c>
      <c r="E30" s="51">
        <f>Arrears!E8</f>
        <v>60000</v>
      </c>
      <c r="F30" s="52"/>
      <c r="G30" s="53" t="str">
        <f>Arrears!G8</f>
        <v>⚠ UNPAID</v>
      </c>
      <c r="H30" s="54" t="str">
        <f>Arrears!I8</f>
        <v>Arrears outstanding</v>
      </c>
    </row>
    <row r="31" spans="1:8" ht="18" customHeight="1" x14ac:dyDescent="0.2">
      <c r="A31" s="39" t="str">
        <f>Arrears!A11</f>
        <v>Nawasco</v>
      </c>
      <c r="B31" s="44">
        <f>Arrears!B11</f>
        <v>0</v>
      </c>
      <c r="C31" s="31">
        <f>Arrears!C11</f>
        <v>0</v>
      </c>
      <c r="D31" s="31">
        <f>Arrears!D11</f>
        <v>0</v>
      </c>
      <c r="E31" s="45">
        <f>Arrears!E11</f>
        <v>0</v>
      </c>
      <c r="F31" s="46"/>
      <c r="G31" s="41" t="str">
        <f>Arrears!G11</f>
        <v>✓ PAID</v>
      </c>
      <c r="H31" s="47">
        <f>Arrears!I11</f>
        <v>0</v>
      </c>
    </row>
    <row r="32" spans="1:8" ht="18" customHeight="1" x14ac:dyDescent="0.2">
      <c r="A32" s="48" t="str">
        <f>Arrears!A12</f>
        <v>Keyboardist</v>
      </c>
      <c r="B32" s="49">
        <f>Arrears!B12</f>
        <v>0</v>
      </c>
      <c r="C32" s="50">
        <f>Arrears!C12</f>
        <v>0</v>
      </c>
      <c r="D32" s="50">
        <f>Arrears!D12</f>
        <v>0</v>
      </c>
      <c r="E32" s="51">
        <f>Arrears!E12</f>
        <v>0</v>
      </c>
      <c r="F32" s="52"/>
      <c r="G32" s="53" t="str">
        <f>Arrears!G12</f>
        <v>✓ PAID</v>
      </c>
      <c r="H32" s="54">
        <f>Arrears!I12</f>
        <v>0</v>
      </c>
    </row>
    <row r="33" spans="1:8" ht="18" customHeight="1" x14ac:dyDescent="0.2">
      <c r="A33" s="39" t="str">
        <f>Arrears!A13</f>
        <v>Drummer</v>
      </c>
      <c r="B33" s="44">
        <f>Arrears!B13</f>
        <v>0</v>
      </c>
      <c r="C33" s="31">
        <f>Arrears!C13</f>
        <v>0</v>
      </c>
      <c r="D33" s="31">
        <f>Arrears!D13</f>
        <v>0</v>
      </c>
      <c r="E33" s="45">
        <f>Arrears!E13</f>
        <v>0</v>
      </c>
      <c r="F33" s="46"/>
      <c r="G33" s="41" t="str">
        <f>Arrears!G13</f>
        <v>✓ PAID</v>
      </c>
      <c r="H33" s="47">
        <f>Arrears!I13</f>
        <v>0</v>
      </c>
    </row>
    <row r="34" spans="1:8" ht="18" customHeight="1" x14ac:dyDescent="0.2">
      <c r="A34" s="48" t="str">
        <f>Arrears!A14</f>
        <v>Kids Teacher</v>
      </c>
      <c r="B34" s="49">
        <f>Arrears!B14</f>
        <v>0</v>
      </c>
      <c r="C34" s="50">
        <f>Arrears!C14</f>
        <v>0</v>
      </c>
      <c r="D34" s="50">
        <f>Arrears!D14</f>
        <v>0</v>
      </c>
      <c r="E34" s="51">
        <f>Arrears!E14</f>
        <v>0</v>
      </c>
      <c r="F34" s="52"/>
      <c r="G34" s="53" t="str">
        <f>Arrears!G14</f>
        <v>✓ PAID</v>
      </c>
      <c r="H34" s="54">
        <f>Arrears!I14</f>
        <v>0</v>
      </c>
    </row>
    <row r="35" spans="1:8" ht="18" customHeight="1" x14ac:dyDescent="0.2">
      <c r="A35" s="39" t="str">
        <f>Arrears!A15</f>
        <v>Caretaker</v>
      </c>
      <c r="B35" s="44">
        <f>Arrears!B15</f>
        <v>0</v>
      </c>
      <c r="C35" s="31">
        <f>Arrears!C15</f>
        <v>0</v>
      </c>
      <c r="D35" s="31">
        <f>Arrears!D15</f>
        <v>0</v>
      </c>
      <c r="E35" s="45">
        <f>Arrears!E15</f>
        <v>0</v>
      </c>
      <c r="F35" s="46"/>
      <c r="G35" s="41" t="str">
        <f>Arrears!G15</f>
        <v>✓ PAID</v>
      </c>
      <c r="H35" s="47">
        <f>Arrears!I15</f>
        <v>0</v>
      </c>
    </row>
    <row r="36" spans="1:8" ht="18" customHeight="1" x14ac:dyDescent="0.2">
      <c r="A36" s="48" t="str">
        <f>Arrears!A16</f>
        <v xml:space="preserve">Honorarium </v>
      </c>
      <c r="B36" s="49">
        <f>Arrears!B16</f>
        <v>0</v>
      </c>
      <c r="C36" s="50">
        <f>Arrears!C16</f>
        <v>0</v>
      </c>
      <c r="D36" s="50">
        <f>Arrears!D16</f>
        <v>0</v>
      </c>
      <c r="E36" s="51">
        <f>Arrears!E16</f>
        <v>0</v>
      </c>
      <c r="F36" s="52"/>
      <c r="G36" s="53" t="str">
        <f>Arrears!G16</f>
        <v>✓ PAID</v>
      </c>
      <c r="H36" s="54">
        <f>Arrears!I16</f>
        <v>0</v>
      </c>
    </row>
    <row r="37" spans="1:8" ht="18" customHeight="1" x14ac:dyDescent="0.2">
      <c r="A37" s="39" t="str">
        <f>Arrears!A17</f>
        <v>KPLC Tokens</v>
      </c>
      <c r="B37" s="44">
        <f>Arrears!B17</f>
        <v>0</v>
      </c>
      <c r="C37" s="31">
        <f>Arrears!C17</f>
        <v>0</v>
      </c>
      <c r="D37" s="31">
        <f>Arrears!D17</f>
        <v>0</v>
      </c>
      <c r="E37" s="45">
        <f>Arrears!E17</f>
        <v>0</v>
      </c>
      <c r="F37" s="46"/>
      <c r="G37" s="41" t="str">
        <f>Arrears!G17</f>
        <v>✓ PAID</v>
      </c>
      <c r="H37" s="47">
        <f>Arrears!I17</f>
        <v>0</v>
      </c>
    </row>
    <row r="38" spans="1:8" ht="18" customHeight="1" x14ac:dyDescent="0.2">
      <c r="A38" s="48" t="str">
        <f>Arrears!A18</f>
        <v>Extra Item 1</v>
      </c>
      <c r="B38" s="49">
        <f>Arrears!B18</f>
        <v>0</v>
      </c>
      <c r="C38" s="50">
        <f>Arrears!C18</f>
        <v>0</v>
      </c>
      <c r="D38" s="50">
        <f>Arrears!D18</f>
        <v>0</v>
      </c>
      <c r="E38" s="51">
        <f>Arrears!E18</f>
        <v>0</v>
      </c>
      <c r="F38" s="52"/>
      <c r="G38" s="53" t="str">
        <f>Arrears!G18</f>
        <v>✓ PAID</v>
      </c>
      <c r="H38" s="54">
        <f>Arrears!I18</f>
        <v>0</v>
      </c>
    </row>
    <row r="39" spans="1:8" ht="18" customHeight="1" x14ac:dyDescent="0.2">
      <c r="A39" s="39" t="str">
        <f>Arrears!A19</f>
        <v>Extra Item 2</v>
      </c>
      <c r="B39" s="44">
        <f>Arrears!B19</f>
        <v>0</v>
      </c>
      <c r="C39" s="31">
        <f>Arrears!C19</f>
        <v>0</v>
      </c>
      <c r="D39" s="31">
        <f>Arrears!D19</f>
        <v>0</v>
      </c>
      <c r="E39" s="45">
        <f>Arrears!E19</f>
        <v>0</v>
      </c>
      <c r="F39" s="46"/>
      <c r="G39" s="41" t="str">
        <f>Arrears!G19</f>
        <v>✓ PAID</v>
      </c>
      <c r="H39" s="47">
        <f>Arrears!I19</f>
        <v>0</v>
      </c>
    </row>
    <row r="40" spans="1:8" ht="18" customHeight="1" x14ac:dyDescent="0.2">
      <c r="A40" s="48" t="str">
        <f>Arrears!A20</f>
        <v>Extra Item 3</v>
      </c>
      <c r="B40" s="49">
        <f>Arrears!B20</f>
        <v>0</v>
      </c>
      <c r="C40" s="50">
        <f>Arrears!C20</f>
        <v>0</v>
      </c>
      <c r="D40" s="50">
        <f>Arrears!D20</f>
        <v>0</v>
      </c>
      <c r="E40" s="51">
        <f>Arrears!E20</f>
        <v>0</v>
      </c>
      <c r="F40" s="52"/>
      <c r="G40" s="53" t="str">
        <f>Arrears!G20</f>
        <v>✓ PAID</v>
      </c>
      <c r="H40" s="54">
        <f>Arrears!I20</f>
        <v>0</v>
      </c>
    </row>
    <row r="41" spans="1:8" ht="24" customHeight="1" x14ac:dyDescent="0.2">
      <c r="A41" s="223" t="s">
        <v>139</v>
      </c>
      <c r="B41" s="223"/>
      <c r="C41" s="223"/>
      <c r="D41" s="223"/>
      <c r="E41" s="55">
        <f>SUM(E27:E40)</f>
        <v>178500</v>
      </c>
      <c r="F41" s="56"/>
      <c r="G41" s="56"/>
      <c r="H41" s="56"/>
    </row>
    <row r="65" spans="1:8" ht="19.5" customHeight="1" x14ac:dyDescent="0.2">
      <c r="A65" s="224" t="s">
        <v>140</v>
      </c>
      <c r="B65" s="224"/>
      <c r="C65" s="224"/>
      <c r="D65" s="224"/>
      <c r="E65" s="224"/>
      <c r="F65" s="224"/>
      <c r="G65" s="224"/>
      <c r="H65" s="224"/>
    </row>
    <row r="66" spans="1:8" ht="15.75" customHeight="1" x14ac:dyDescent="0.2">
      <c r="A66" s="225" t="s">
        <v>141</v>
      </c>
      <c r="B66" s="225"/>
      <c r="C66" s="225"/>
      <c r="D66" s="225"/>
      <c r="E66" s="225"/>
      <c r="F66" s="225"/>
      <c r="G66" s="225"/>
      <c r="H66" s="225"/>
    </row>
  </sheetData>
  <mergeCells count="15">
    <mergeCell ref="A25:H25"/>
    <mergeCell ref="A41:D41"/>
    <mergeCell ref="A65:H65"/>
    <mergeCell ref="A66:H66"/>
    <mergeCell ref="A5:B7"/>
    <mergeCell ref="C5:D7"/>
    <mergeCell ref="E5:F7"/>
    <mergeCell ref="G5:H7"/>
    <mergeCell ref="A9:H9"/>
    <mergeCell ref="A1:H1"/>
    <mergeCell ref="A2:H2"/>
    <mergeCell ref="A4:B4"/>
    <mergeCell ref="C4:D4"/>
    <mergeCell ref="E4:F4"/>
    <mergeCell ref="G4:H4"/>
  </mergeCells>
  <conditionalFormatting sqref="E27:E40">
    <cfRule type="cellIs" dxfId="15" priority="4" operator="greaterThan">
      <formula>0</formula>
    </cfRule>
    <cfRule type="cellIs" dxfId="14" priority="5" operator="equal">
      <formula>0</formula>
    </cfRule>
  </conditionalFormatting>
  <conditionalFormatting sqref="G27:G40">
    <cfRule type="expression" dxfId="13" priority="6">
      <formula>E27&gt;0</formula>
    </cfRule>
    <cfRule type="expression" dxfId="12" priority="7">
      <formula>E27=0</formula>
    </cfRule>
  </conditionalFormatting>
  <conditionalFormatting sqref="H11:H22">
    <cfRule type="expression" dxfId="11" priority="2">
      <formula>E11&gt;=F11</formula>
    </cfRule>
    <cfRule type="expression" dxfId="10" priority="3">
      <formula>E11&lt;F11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"/>
  <sheetViews>
    <sheetView zoomScaleNormal="100" workbookViewId="0">
      <selection activeCell="D12" sqref="D12"/>
    </sheetView>
  </sheetViews>
  <sheetFormatPr defaultColWidth="8.7421875" defaultRowHeight="15" x14ac:dyDescent="0.2"/>
  <cols>
    <col min="1" max="1" width="23.9453125" customWidth="1"/>
    <col min="2" max="8" width="16.94921875" customWidth="1"/>
  </cols>
  <sheetData>
    <row r="1" spans="1:8" ht="36" customHeight="1" x14ac:dyDescent="0.2">
      <c r="A1" s="231" t="s">
        <v>38</v>
      </c>
      <c r="B1" s="231"/>
      <c r="C1" s="231"/>
      <c r="D1" s="231"/>
      <c r="E1" s="231"/>
      <c r="F1" s="231"/>
    </row>
    <row r="2" spans="1:8" ht="36" customHeight="1" x14ac:dyDescent="0.2">
      <c r="A2" s="231"/>
      <c r="B2" s="231"/>
      <c r="C2" s="231"/>
      <c r="D2" s="231"/>
      <c r="E2" s="231"/>
      <c r="F2" s="231"/>
    </row>
    <row r="3" spans="1:8" ht="21.75" customHeight="1" x14ac:dyDescent="0.2">
      <c r="A3" s="232" t="s">
        <v>120</v>
      </c>
      <c r="B3" s="232"/>
      <c r="C3" s="232"/>
      <c r="D3" s="232"/>
      <c r="E3" s="232"/>
      <c r="F3" s="232"/>
    </row>
    <row r="4" spans="1:8" ht="12" customHeight="1" x14ac:dyDescent="0.2"/>
    <row r="5" spans="1:8" ht="21.75" customHeight="1" x14ac:dyDescent="0.2">
      <c r="A5" s="218" t="s">
        <v>121</v>
      </c>
      <c r="B5" s="218"/>
      <c r="C5" s="219" t="s">
        <v>122</v>
      </c>
      <c r="D5" s="219"/>
      <c r="E5" s="220" t="s">
        <v>123</v>
      </c>
      <c r="F5" s="220"/>
      <c r="G5" s="221" t="s">
        <v>124</v>
      </c>
      <c r="H5" s="221"/>
    </row>
    <row r="6" spans="1:8" ht="21.75" customHeight="1" x14ac:dyDescent="0.2">
      <c r="A6" s="226">
        <f>Collections!E81</f>
        <v>78286.5</v>
      </c>
      <c r="B6" s="226"/>
      <c r="C6" s="227">
        <f>Expenses!BO14</f>
        <v>173300</v>
      </c>
      <c r="D6" s="227"/>
      <c r="E6" s="228">
        <f>Collections!E81-Expenses!BO14</f>
        <v>-95013.5</v>
      </c>
      <c r="F6" s="228"/>
      <c r="G6" s="229">
        <f>SUM(Arrears!E5:E20)</f>
        <v>233500</v>
      </c>
      <c r="H6" s="229"/>
    </row>
    <row r="7" spans="1:8" ht="21.75" customHeight="1" x14ac:dyDescent="0.2">
      <c r="A7" s="226"/>
      <c r="B7" s="226"/>
      <c r="C7" s="227"/>
      <c r="D7" s="227"/>
      <c r="E7" s="228"/>
      <c r="F7" s="228"/>
      <c r="G7" s="229"/>
      <c r="H7" s="229"/>
    </row>
    <row r="8" spans="1:8" ht="21.75" customHeight="1" x14ac:dyDescent="0.2">
      <c r="A8" s="226"/>
      <c r="B8" s="226"/>
      <c r="C8" s="227"/>
      <c r="D8" s="227"/>
      <c r="E8" s="228"/>
      <c r="F8" s="228"/>
      <c r="G8" s="229"/>
      <c r="H8" s="229"/>
    </row>
    <row r="10" spans="1:8" ht="21.75" customHeight="1" x14ac:dyDescent="0.2">
      <c r="A10" s="230" t="s">
        <v>125</v>
      </c>
      <c r="B10" s="230"/>
      <c r="C10" s="230"/>
      <c r="D10" s="230"/>
      <c r="E10" s="230"/>
      <c r="F10" s="230"/>
      <c r="G10" s="230"/>
      <c r="H10" s="230"/>
    </row>
    <row r="11" spans="1:8" ht="31.5" customHeight="1" x14ac:dyDescent="0.2">
      <c r="A11" s="34" t="s">
        <v>100</v>
      </c>
      <c r="B11" s="34" t="s">
        <v>126</v>
      </c>
      <c r="C11" s="34" t="s">
        <v>127</v>
      </c>
      <c r="D11" s="34" t="s">
        <v>128</v>
      </c>
      <c r="E11" s="34" t="s">
        <v>129</v>
      </c>
      <c r="F11" s="34" t="s">
        <v>130</v>
      </c>
      <c r="G11" s="34" t="s">
        <v>131</v>
      </c>
      <c r="H11" s="34" t="s">
        <v>132</v>
      </c>
    </row>
    <row r="12" spans="1:8" ht="18" customHeight="1" x14ac:dyDescent="0.2">
      <c r="A12" s="35" t="s">
        <v>106</v>
      </c>
      <c r="B12" s="36">
        <f>'Draft Budget'!D14</f>
        <v>0</v>
      </c>
      <c r="C12" s="36">
        <f>Collections!E29</f>
        <v>33190.5</v>
      </c>
      <c r="D12" s="36">
        <f>Expenses!W14</f>
        <v>46300</v>
      </c>
      <c r="E12" s="37">
        <f t="shared" ref="E12:E23" si="0">C12-D12</f>
        <v>-13109.5</v>
      </c>
      <c r="F12" s="36">
        <f t="shared" ref="F12:F23" si="1">B12-D12</f>
        <v>-46300</v>
      </c>
      <c r="G12" s="36">
        <f t="shared" ref="G12:G23" si="2">C12-B12</f>
        <v>33190.5</v>
      </c>
      <c r="H12" s="38" t="str">
        <f t="shared" ref="H12:H23" si="3">IF(E12&gt;=F12,"✓ On Track","▼ Behind")</f>
        <v>✓ On Track</v>
      </c>
    </row>
    <row r="13" spans="1:8" ht="18" customHeight="1" x14ac:dyDescent="0.2">
      <c r="A13" s="39" t="s">
        <v>107</v>
      </c>
      <c r="B13" s="31">
        <f>'Draft Budget'!E14</f>
        <v>0</v>
      </c>
      <c r="C13" s="31">
        <f>Collections!E36</f>
        <v>22781</v>
      </c>
      <c r="D13" s="31">
        <f>Expenses!AC14</f>
        <v>51000</v>
      </c>
      <c r="E13" s="40">
        <f t="shared" si="0"/>
        <v>-28219</v>
      </c>
      <c r="F13" s="31">
        <f t="shared" si="1"/>
        <v>-51000</v>
      </c>
      <c r="G13" s="31">
        <f t="shared" si="2"/>
        <v>22781</v>
      </c>
      <c r="H13" s="41" t="str">
        <f t="shared" si="3"/>
        <v>✓ On Track</v>
      </c>
    </row>
    <row r="14" spans="1:8" ht="18" customHeight="1" x14ac:dyDescent="0.2">
      <c r="A14" s="35" t="s">
        <v>108</v>
      </c>
      <c r="B14" s="36">
        <f>'Draft Budget'!F14</f>
        <v>0</v>
      </c>
      <c r="C14" s="36">
        <f>Collections!E42</f>
        <v>3545</v>
      </c>
      <c r="D14" s="36">
        <f>Expenses!AH14</f>
        <v>9700</v>
      </c>
      <c r="E14" s="37">
        <f t="shared" si="0"/>
        <v>-6155</v>
      </c>
      <c r="F14" s="36">
        <f t="shared" si="1"/>
        <v>-9700</v>
      </c>
      <c r="G14" s="36">
        <f t="shared" si="2"/>
        <v>3545</v>
      </c>
      <c r="H14" s="38" t="str">
        <f t="shared" si="3"/>
        <v>✓ On Track</v>
      </c>
    </row>
    <row r="15" spans="1:8" ht="18" customHeight="1" x14ac:dyDescent="0.2">
      <c r="A15" s="39" t="s">
        <v>109</v>
      </c>
      <c r="B15" s="31">
        <f>'Draft Budget'!G14</f>
        <v>0</v>
      </c>
      <c r="C15" s="31">
        <f>Collections!E48</f>
        <v>0</v>
      </c>
      <c r="D15" s="31">
        <f>Expenses!AM14</f>
        <v>0</v>
      </c>
      <c r="E15" s="40">
        <f t="shared" si="0"/>
        <v>0</v>
      </c>
      <c r="F15" s="31">
        <f t="shared" si="1"/>
        <v>0</v>
      </c>
      <c r="G15" s="31">
        <f t="shared" si="2"/>
        <v>0</v>
      </c>
      <c r="H15" s="41" t="str">
        <f t="shared" si="3"/>
        <v>✓ On Track</v>
      </c>
    </row>
    <row r="16" spans="1:8" ht="18" customHeight="1" x14ac:dyDescent="0.2">
      <c r="A16" s="35" t="s">
        <v>110</v>
      </c>
      <c r="B16" s="36">
        <f>'Draft Budget'!H14</f>
        <v>0</v>
      </c>
      <c r="C16" s="36">
        <f>Collections!E55</f>
        <v>0</v>
      </c>
      <c r="D16" s="36">
        <f>Expenses!AS14</f>
        <v>0</v>
      </c>
      <c r="E16" s="37">
        <f t="shared" si="0"/>
        <v>0</v>
      </c>
      <c r="F16" s="36">
        <f t="shared" si="1"/>
        <v>0</v>
      </c>
      <c r="G16" s="36">
        <f t="shared" si="2"/>
        <v>0</v>
      </c>
      <c r="H16" s="38" t="str">
        <f t="shared" si="3"/>
        <v>✓ On Track</v>
      </c>
    </row>
    <row r="17" spans="1:8" ht="18" customHeight="1" x14ac:dyDescent="0.2">
      <c r="A17" s="39" t="s">
        <v>111</v>
      </c>
      <c r="B17" s="31">
        <f>'Draft Budget'!I14</f>
        <v>0</v>
      </c>
      <c r="C17" s="31">
        <f>Collections!E61</f>
        <v>0</v>
      </c>
      <c r="D17" s="31">
        <f>Expenses!AX14</f>
        <v>0</v>
      </c>
      <c r="E17" s="40">
        <f t="shared" si="0"/>
        <v>0</v>
      </c>
      <c r="F17" s="31">
        <f t="shared" si="1"/>
        <v>0</v>
      </c>
      <c r="G17" s="31">
        <f t="shared" si="2"/>
        <v>0</v>
      </c>
      <c r="H17" s="41" t="str">
        <f t="shared" si="3"/>
        <v>✓ On Track</v>
      </c>
    </row>
    <row r="18" spans="1:8" ht="18" customHeight="1" x14ac:dyDescent="0.2">
      <c r="A18" s="35" t="s">
        <v>112</v>
      </c>
      <c r="B18" s="36">
        <f>'Draft Budget'!J14</f>
        <v>0</v>
      </c>
      <c r="C18" s="36">
        <f>Collections!E67</f>
        <v>0</v>
      </c>
      <c r="D18" s="36">
        <f>Expenses!BC14</f>
        <v>0</v>
      </c>
      <c r="E18" s="37">
        <f t="shared" si="0"/>
        <v>0</v>
      </c>
      <c r="F18" s="36">
        <f t="shared" si="1"/>
        <v>0</v>
      </c>
      <c r="G18" s="36">
        <f t="shared" si="2"/>
        <v>0</v>
      </c>
      <c r="H18" s="38" t="str">
        <f t="shared" si="3"/>
        <v>✓ On Track</v>
      </c>
    </row>
    <row r="19" spans="1:8" ht="18" customHeight="1" x14ac:dyDescent="0.2">
      <c r="A19" s="39" t="s">
        <v>113</v>
      </c>
      <c r="B19" s="31">
        <f>'Draft Budget'!K14</f>
        <v>0</v>
      </c>
      <c r="C19" s="31">
        <f>Collections!E74</f>
        <v>0</v>
      </c>
      <c r="D19" s="31">
        <f>Expenses!BI14</f>
        <v>0</v>
      </c>
      <c r="E19" s="40">
        <f t="shared" si="0"/>
        <v>0</v>
      </c>
      <c r="F19" s="31">
        <f t="shared" si="1"/>
        <v>0</v>
      </c>
      <c r="G19" s="31">
        <f t="shared" si="2"/>
        <v>0</v>
      </c>
      <c r="H19" s="41" t="str">
        <f t="shared" si="3"/>
        <v>✓ On Track</v>
      </c>
    </row>
    <row r="20" spans="1:8" ht="18" customHeight="1" x14ac:dyDescent="0.2">
      <c r="A20" s="35" t="s">
        <v>114</v>
      </c>
      <c r="B20" s="36">
        <f>'Draft Budget'!L14</f>
        <v>0</v>
      </c>
      <c r="C20" s="36">
        <f>Collections!E80</f>
        <v>0</v>
      </c>
      <c r="D20" s="36">
        <f>Expenses!BN14</f>
        <v>0</v>
      </c>
      <c r="E20" s="37">
        <f t="shared" si="0"/>
        <v>0</v>
      </c>
      <c r="F20" s="36">
        <f t="shared" si="1"/>
        <v>0</v>
      </c>
      <c r="G20" s="36">
        <f t="shared" si="2"/>
        <v>0</v>
      </c>
      <c r="H20" s="38" t="str">
        <f t="shared" si="3"/>
        <v>✓ On Track</v>
      </c>
    </row>
    <row r="21" spans="1:8" ht="18" customHeight="1" x14ac:dyDescent="0.2">
      <c r="A21" s="39" t="s">
        <v>103</v>
      </c>
      <c r="B21" s="31">
        <f>'Draft Budget'!M14</f>
        <v>0</v>
      </c>
      <c r="C21" s="31">
        <f>Collections!E10</f>
        <v>0</v>
      </c>
      <c r="D21" s="31">
        <f>Expenses!G14</f>
        <v>0</v>
      </c>
      <c r="E21" s="40">
        <f t="shared" si="0"/>
        <v>0</v>
      </c>
      <c r="F21" s="31">
        <f t="shared" si="1"/>
        <v>0</v>
      </c>
      <c r="G21" s="31">
        <f t="shared" si="2"/>
        <v>0</v>
      </c>
      <c r="H21" s="41" t="str">
        <f t="shared" si="3"/>
        <v>✓ On Track</v>
      </c>
    </row>
    <row r="22" spans="1:8" ht="18" customHeight="1" x14ac:dyDescent="0.2">
      <c r="A22" s="35" t="s">
        <v>104</v>
      </c>
      <c r="B22" s="36">
        <f>'Draft Budget'!N14</f>
        <v>0</v>
      </c>
      <c r="C22" s="36">
        <f>Collections!E16</f>
        <v>0</v>
      </c>
      <c r="D22" s="36">
        <f>Expenses!L14</f>
        <v>0</v>
      </c>
      <c r="E22" s="37">
        <f t="shared" si="0"/>
        <v>0</v>
      </c>
      <c r="F22" s="36">
        <f t="shared" si="1"/>
        <v>0</v>
      </c>
      <c r="G22" s="36">
        <f t="shared" si="2"/>
        <v>0</v>
      </c>
      <c r="H22" s="38" t="str">
        <f t="shared" si="3"/>
        <v>✓ On Track</v>
      </c>
    </row>
    <row r="23" spans="1:8" ht="18" customHeight="1" x14ac:dyDescent="0.2">
      <c r="A23" s="39" t="s">
        <v>105</v>
      </c>
      <c r="B23" s="31">
        <f>'Draft Budget'!O14</f>
        <v>0</v>
      </c>
      <c r="C23" s="31">
        <f>Collections!E23</f>
        <v>18770</v>
      </c>
      <c r="D23" s="31">
        <f>Expenses!R14</f>
        <v>66300</v>
      </c>
      <c r="E23" s="40">
        <f t="shared" si="0"/>
        <v>-47530</v>
      </c>
      <c r="F23" s="31">
        <f t="shared" si="1"/>
        <v>-66300</v>
      </c>
      <c r="G23" s="31">
        <f t="shared" si="2"/>
        <v>18770</v>
      </c>
      <c r="H23" s="41" t="str">
        <f t="shared" si="3"/>
        <v>✓ On Track</v>
      </c>
    </row>
    <row r="24" spans="1:8" ht="19.5" customHeight="1" x14ac:dyDescent="0.2">
      <c r="A24" s="42" t="s">
        <v>53</v>
      </c>
      <c r="B24" s="33">
        <f t="shared" ref="B24:G24" si="4">SUM(B12:B23)</f>
        <v>0</v>
      </c>
      <c r="C24" s="33">
        <f t="shared" si="4"/>
        <v>78286.5</v>
      </c>
      <c r="D24" s="33">
        <f t="shared" si="4"/>
        <v>173300</v>
      </c>
      <c r="E24" s="33">
        <f t="shared" si="4"/>
        <v>-95013.5</v>
      </c>
      <c r="F24" s="33">
        <f t="shared" si="4"/>
        <v>-173300</v>
      </c>
      <c r="G24" s="33">
        <f t="shared" si="4"/>
        <v>78286.5</v>
      </c>
      <c r="H24" s="42"/>
    </row>
    <row r="26" spans="1:8" ht="21.75" customHeight="1" x14ac:dyDescent="0.2">
      <c r="A26" s="222" t="s">
        <v>133</v>
      </c>
      <c r="B26" s="222"/>
      <c r="C26" s="222"/>
      <c r="D26" s="222"/>
      <c r="E26" s="222"/>
      <c r="F26" s="222"/>
      <c r="G26" s="222"/>
      <c r="H26" s="222"/>
    </row>
    <row r="27" spans="1:8" ht="27.75" customHeight="1" x14ac:dyDescent="0.2">
      <c r="A27" s="43" t="s">
        <v>134</v>
      </c>
      <c r="B27" s="43" t="s">
        <v>135</v>
      </c>
      <c r="C27" s="43" t="s">
        <v>136</v>
      </c>
      <c r="D27" s="43" t="s">
        <v>137</v>
      </c>
      <c r="E27" s="43" t="s">
        <v>138</v>
      </c>
      <c r="F27" s="43"/>
      <c r="G27" s="43" t="s">
        <v>132</v>
      </c>
      <c r="H27" s="43" t="s">
        <v>73</v>
      </c>
    </row>
    <row r="28" spans="1:8" ht="18" customHeight="1" x14ac:dyDescent="0.2">
      <c r="A28" s="39" t="str">
        <f>Arrears!A5</f>
        <v>Sanitary Bins &amp; detergent</v>
      </c>
      <c r="B28" s="44" t="str">
        <f>Arrears!B5</f>
        <v>Jan – Mar 2026</v>
      </c>
      <c r="C28" s="31">
        <f>Arrears!C5</f>
        <v>3500</v>
      </c>
      <c r="D28" s="31">
        <f>Arrears!D5</f>
        <v>0</v>
      </c>
      <c r="E28" s="45">
        <f>Arrears!E5</f>
        <v>3500</v>
      </c>
      <c r="F28" s="46"/>
      <c r="G28" s="41" t="str">
        <f>Arrears!G5</f>
        <v>⚠ UNPAID</v>
      </c>
      <c r="H28" s="47" t="str">
        <f>Arrears!I5</f>
        <v>NB – KES 3,500 unpaid</v>
      </c>
    </row>
    <row r="29" spans="1:8" ht="18" customHeight="1" x14ac:dyDescent="0.2">
      <c r="A29" s="48" t="str">
        <f>Arrears!A6</f>
        <v>Rent</v>
      </c>
      <c r="B29" s="49" t="str">
        <f>Arrears!B6</f>
        <v>Nov – Dec 2025</v>
      </c>
      <c r="C29" s="50">
        <f>Arrears!C6</f>
        <v>95000</v>
      </c>
      <c r="D29" s="50">
        <f>Arrears!D6</f>
        <v>0</v>
      </c>
      <c r="E29" s="51">
        <f>Arrears!E6</f>
        <v>95000</v>
      </c>
      <c r="F29" s="52"/>
      <c r="G29" s="53" t="str">
        <f>Arrears!G6</f>
        <v>⚠ UNPAID</v>
      </c>
      <c r="H29" s="54" t="str">
        <f>Arrears!I6</f>
        <v>Arrears outstanding</v>
      </c>
    </row>
    <row r="30" spans="1:8" ht="18" customHeight="1" x14ac:dyDescent="0.2">
      <c r="A30" s="39" t="str">
        <f>Arrears!A7</f>
        <v>Beisa Hotel</v>
      </c>
      <c r="B30" s="44" t="str">
        <f>Arrears!B7</f>
        <v>2025</v>
      </c>
      <c r="C30" s="31">
        <f>Arrears!C7</f>
        <v>20000</v>
      </c>
      <c r="D30" s="31">
        <f>Arrears!D7</f>
        <v>0</v>
      </c>
      <c r="E30" s="45">
        <f>Arrears!E7</f>
        <v>20000</v>
      </c>
      <c r="F30" s="46"/>
      <c r="G30" s="41" t="str">
        <f>Arrears!G7</f>
        <v>⚠ UNPAID</v>
      </c>
      <c r="H30" s="47" t="str">
        <f>Arrears!I7</f>
        <v>Arrears outstanding</v>
      </c>
    </row>
    <row r="31" spans="1:8" ht="18" customHeight="1" x14ac:dyDescent="0.2">
      <c r="A31" s="48" t="str">
        <f>Arrears!A8</f>
        <v>Iserve</v>
      </c>
      <c r="B31" s="49" t="str">
        <f>Arrears!B8</f>
        <v>2025</v>
      </c>
      <c r="C31" s="50">
        <f>Arrears!C8</f>
        <v>60000</v>
      </c>
      <c r="D31" s="50">
        <f>Arrears!D8</f>
        <v>0</v>
      </c>
      <c r="E31" s="51">
        <f>Arrears!E8</f>
        <v>60000</v>
      </c>
      <c r="F31" s="52"/>
      <c r="G31" s="53" t="str">
        <f>Arrears!G8</f>
        <v>⚠ UNPAID</v>
      </c>
      <c r="H31" s="54" t="str">
        <f>Arrears!I8</f>
        <v>Arrears outstanding</v>
      </c>
    </row>
    <row r="32" spans="1:8" ht="18" customHeight="1" x14ac:dyDescent="0.2">
      <c r="A32" s="39" t="str">
        <f>Arrears!A11</f>
        <v>Nawasco</v>
      </c>
      <c r="B32" s="44">
        <f>Arrears!B11</f>
        <v>0</v>
      </c>
      <c r="C32" s="31">
        <f>Arrears!C11</f>
        <v>0</v>
      </c>
      <c r="D32" s="31">
        <f>Arrears!D11</f>
        <v>0</v>
      </c>
      <c r="E32" s="45">
        <f>Arrears!E11</f>
        <v>0</v>
      </c>
      <c r="F32" s="46"/>
      <c r="G32" s="41" t="str">
        <f>Arrears!G11</f>
        <v>✓ PAID</v>
      </c>
      <c r="H32" s="47">
        <f>Arrears!I11</f>
        <v>0</v>
      </c>
    </row>
    <row r="33" spans="1:8" ht="18" customHeight="1" x14ac:dyDescent="0.2">
      <c r="A33" s="48" t="str">
        <f>Arrears!A12</f>
        <v>Keyboardist</v>
      </c>
      <c r="B33" s="49">
        <f>Arrears!B12</f>
        <v>0</v>
      </c>
      <c r="C33" s="50">
        <f>Arrears!C12</f>
        <v>0</v>
      </c>
      <c r="D33" s="50">
        <f>Arrears!D12</f>
        <v>0</v>
      </c>
      <c r="E33" s="51">
        <f>Arrears!E12</f>
        <v>0</v>
      </c>
      <c r="F33" s="52"/>
      <c r="G33" s="53" t="str">
        <f>Arrears!G12</f>
        <v>✓ PAID</v>
      </c>
      <c r="H33" s="54">
        <f>Arrears!I12</f>
        <v>0</v>
      </c>
    </row>
    <row r="34" spans="1:8" ht="18" customHeight="1" x14ac:dyDescent="0.2">
      <c r="A34" s="39" t="str">
        <f>Arrears!A13</f>
        <v>Drummer</v>
      </c>
      <c r="B34" s="44">
        <f>Arrears!B13</f>
        <v>0</v>
      </c>
      <c r="C34" s="31">
        <f>Arrears!C13</f>
        <v>0</v>
      </c>
      <c r="D34" s="31">
        <f>Arrears!D13</f>
        <v>0</v>
      </c>
      <c r="E34" s="45">
        <f>Arrears!E13</f>
        <v>0</v>
      </c>
      <c r="F34" s="46"/>
      <c r="G34" s="41" t="str">
        <f>Arrears!G13</f>
        <v>✓ PAID</v>
      </c>
      <c r="H34" s="47">
        <f>Arrears!I13</f>
        <v>0</v>
      </c>
    </row>
    <row r="35" spans="1:8" ht="18" customHeight="1" x14ac:dyDescent="0.2">
      <c r="A35" s="48" t="str">
        <f>Arrears!A14</f>
        <v>Kids Teacher</v>
      </c>
      <c r="B35" s="49">
        <f>Arrears!B14</f>
        <v>0</v>
      </c>
      <c r="C35" s="50">
        <f>Arrears!C14</f>
        <v>0</v>
      </c>
      <c r="D35" s="50">
        <f>Arrears!D14</f>
        <v>0</v>
      </c>
      <c r="E35" s="51">
        <f>Arrears!E14</f>
        <v>0</v>
      </c>
      <c r="F35" s="52"/>
      <c r="G35" s="53" t="str">
        <f>Arrears!G14</f>
        <v>✓ PAID</v>
      </c>
      <c r="H35" s="54">
        <f>Arrears!I14</f>
        <v>0</v>
      </c>
    </row>
    <row r="36" spans="1:8" ht="18" customHeight="1" x14ac:dyDescent="0.2">
      <c r="A36" s="39" t="str">
        <f>Arrears!A15</f>
        <v>Caretaker</v>
      </c>
      <c r="B36" s="44">
        <f>Arrears!B15</f>
        <v>0</v>
      </c>
      <c r="C36" s="31">
        <f>Arrears!C15</f>
        <v>0</v>
      </c>
      <c r="D36" s="31">
        <f>Arrears!D15</f>
        <v>0</v>
      </c>
      <c r="E36" s="45">
        <f>Arrears!E15</f>
        <v>0</v>
      </c>
      <c r="F36" s="46"/>
      <c r="G36" s="41" t="str">
        <f>Arrears!G15</f>
        <v>✓ PAID</v>
      </c>
      <c r="H36" s="47">
        <f>Arrears!I15</f>
        <v>0</v>
      </c>
    </row>
    <row r="37" spans="1:8" ht="18" customHeight="1" x14ac:dyDescent="0.2">
      <c r="A37" s="48" t="str">
        <f>Arrears!A16</f>
        <v xml:space="preserve">Honorarium </v>
      </c>
      <c r="B37" s="49">
        <f>Arrears!B16</f>
        <v>0</v>
      </c>
      <c r="C37" s="50">
        <f>Arrears!C16</f>
        <v>0</v>
      </c>
      <c r="D37" s="50">
        <f>Arrears!D16</f>
        <v>0</v>
      </c>
      <c r="E37" s="51">
        <f>Arrears!E16</f>
        <v>0</v>
      </c>
      <c r="F37" s="52"/>
      <c r="G37" s="53" t="str">
        <f>Arrears!G16</f>
        <v>✓ PAID</v>
      </c>
      <c r="H37" s="54">
        <f>Arrears!I16</f>
        <v>0</v>
      </c>
    </row>
    <row r="38" spans="1:8" ht="18" customHeight="1" x14ac:dyDescent="0.2">
      <c r="A38" s="39" t="str">
        <f>Arrears!A17</f>
        <v>KPLC Tokens</v>
      </c>
      <c r="B38" s="44">
        <f>Arrears!B17</f>
        <v>0</v>
      </c>
      <c r="C38" s="31">
        <f>Arrears!C17</f>
        <v>0</v>
      </c>
      <c r="D38" s="31">
        <f>Arrears!D17</f>
        <v>0</v>
      </c>
      <c r="E38" s="45">
        <f>Arrears!E17</f>
        <v>0</v>
      </c>
      <c r="F38" s="46"/>
      <c r="G38" s="41" t="str">
        <f>Arrears!G17</f>
        <v>✓ PAID</v>
      </c>
      <c r="H38" s="47">
        <f>Arrears!I17</f>
        <v>0</v>
      </c>
    </row>
    <row r="39" spans="1:8" ht="18" customHeight="1" x14ac:dyDescent="0.2">
      <c r="A39" s="48" t="str">
        <f>Arrears!A18</f>
        <v>Extra Item 1</v>
      </c>
      <c r="B39" s="49">
        <f>Arrears!B18</f>
        <v>0</v>
      </c>
      <c r="C39" s="50">
        <f>Arrears!C18</f>
        <v>0</v>
      </c>
      <c r="D39" s="50">
        <f>Arrears!D18</f>
        <v>0</v>
      </c>
      <c r="E39" s="51">
        <f>Arrears!E18</f>
        <v>0</v>
      </c>
      <c r="F39" s="52"/>
      <c r="G39" s="53" t="str">
        <f>Arrears!G18</f>
        <v>✓ PAID</v>
      </c>
      <c r="H39" s="54">
        <f>Arrears!I18</f>
        <v>0</v>
      </c>
    </row>
    <row r="40" spans="1:8" ht="18" customHeight="1" x14ac:dyDescent="0.2">
      <c r="A40" s="39" t="str">
        <f>Arrears!A19</f>
        <v>Extra Item 2</v>
      </c>
      <c r="B40" s="44">
        <f>Arrears!B19</f>
        <v>0</v>
      </c>
      <c r="C40" s="31">
        <f>Arrears!C19</f>
        <v>0</v>
      </c>
      <c r="D40" s="31">
        <f>Arrears!D19</f>
        <v>0</v>
      </c>
      <c r="E40" s="45">
        <f>Arrears!E19</f>
        <v>0</v>
      </c>
      <c r="F40" s="46"/>
      <c r="G40" s="41" t="str">
        <f>Arrears!G19</f>
        <v>✓ PAID</v>
      </c>
      <c r="H40" s="47">
        <f>Arrears!I19</f>
        <v>0</v>
      </c>
    </row>
    <row r="41" spans="1:8" ht="18" customHeight="1" x14ac:dyDescent="0.2">
      <c r="A41" s="48" t="str">
        <f>Arrears!A20</f>
        <v>Extra Item 3</v>
      </c>
      <c r="B41" s="49">
        <f>Arrears!B20</f>
        <v>0</v>
      </c>
      <c r="C41" s="50">
        <f>Arrears!C20</f>
        <v>0</v>
      </c>
      <c r="D41" s="50">
        <f>Arrears!D20</f>
        <v>0</v>
      </c>
      <c r="E41" s="51">
        <f>Arrears!E20</f>
        <v>0</v>
      </c>
      <c r="F41" s="52"/>
      <c r="G41" s="53" t="str">
        <f>Arrears!G20</f>
        <v>✓ PAID</v>
      </c>
      <c r="H41" s="54">
        <f>Arrears!I20</f>
        <v>0</v>
      </c>
    </row>
    <row r="42" spans="1:8" ht="24" customHeight="1" x14ac:dyDescent="0.2">
      <c r="A42" s="223" t="s">
        <v>139</v>
      </c>
      <c r="B42" s="223"/>
      <c r="C42" s="223"/>
      <c r="D42" s="223"/>
      <c r="E42" s="55">
        <f>SUM(E28:E41)</f>
        <v>178500</v>
      </c>
      <c r="F42" s="56"/>
      <c r="G42" s="56"/>
      <c r="H42" s="56"/>
    </row>
    <row r="66" spans="1:8" ht="19.5" customHeight="1" x14ac:dyDescent="0.2">
      <c r="A66" s="224" t="s">
        <v>140</v>
      </c>
      <c r="B66" s="224"/>
      <c r="C66" s="224"/>
      <c r="D66" s="224"/>
      <c r="E66" s="224"/>
      <c r="F66" s="224"/>
      <c r="G66" s="224"/>
      <c r="H66" s="224"/>
    </row>
    <row r="67" spans="1:8" ht="15.75" customHeight="1" x14ac:dyDescent="0.2">
      <c r="A67" s="225" t="s">
        <v>141</v>
      </c>
      <c r="B67" s="225"/>
      <c r="C67" s="225"/>
      <c r="D67" s="225"/>
      <c r="E67" s="225"/>
      <c r="F67" s="225"/>
      <c r="G67" s="225"/>
      <c r="H67" s="225"/>
    </row>
  </sheetData>
  <mergeCells count="15">
    <mergeCell ref="A10:H10"/>
    <mergeCell ref="A26:H26"/>
    <mergeCell ref="A42:D42"/>
    <mergeCell ref="A66:H66"/>
    <mergeCell ref="A67:H67"/>
    <mergeCell ref="G5:H5"/>
    <mergeCell ref="A6:B8"/>
    <mergeCell ref="C6:D8"/>
    <mergeCell ref="E6:F8"/>
    <mergeCell ref="G6:H8"/>
    <mergeCell ref="A1:F2"/>
    <mergeCell ref="A3:F3"/>
    <mergeCell ref="A5:B5"/>
    <mergeCell ref="C5:D5"/>
    <mergeCell ref="E5:F5"/>
  </mergeCells>
  <conditionalFormatting sqref="E28:E41">
    <cfRule type="cellIs" dxfId="9" priority="4" operator="greaterThan">
      <formula>0</formula>
    </cfRule>
    <cfRule type="cellIs" dxfId="8" priority="5" operator="equal">
      <formula>0</formula>
    </cfRule>
  </conditionalFormatting>
  <conditionalFormatting sqref="G28:G41">
    <cfRule type="expression" dxfId="7" priority="6">
      <formula>E28&gt;0</formula>
    </cfRule>
    <cfRule type="expression" dxfId="6" priority="7">
      <formula>E28=0</formula>
    </cfRule>
  </conditionalFormatting>
  <conditionalFormatting sqref="H12:H23">
    <cfRule type="expression" dxfId="5" priority="2">
      <formula>E12&gt;=F12</formula>
    </cfRule>
    <cfRule type="expression" dxfId="4" priority="3">
      <formula>E12&lt;F12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zoomScale="90" zoomScaleNormal="90" workbookViewId="0">
      <selection activeCell="H8" sqref="H8"/>
    </sheetView>
  </sheetViews>
  <sheetFormatPr defaultColWidth="8.7421875" defaultRowHeight="35.25" customHeight="1" x14ac:dyDescent="0.2"/>
  <cols>
    <col min="1" max="1" width="25.9609375" customWidth="1"/>
    <col min="2" max="5" width="18.0234375" customWidth="1"/>
    <col min="6" max="6" width="16.0078125" customWidth="1"/>
    <col min="7" max="7" width="13.98828125" customWidth="1"/>
    <col min="8" max="8" width="18.0234375" customWidth="1"/>
    <col min="9" max="9" width="25.9609375" customWidth="1"/>
  </cols>
  <sheetData>
    <row r="1" spans="1:9" ht="35.25" customHeight="1" x14ac:dyDescent="0.2">
      <c r="A1" s="214" t="s">
        <v>142</v>
      </c>
      <c r="B1" s="214"/>
      <c r="C1" s="214"/>
      <c r="D1" s="214"/>
      <c r="E1" s="214"/>
      <c r="F1" s="214"/>
      <c r="G1" s="214"/>
      <c r="H1" s="214"/>
      <c r="I1" s="214"/>
    </row>
    <row r="2" spans="1:9" ht="35.25" hidden="1" customHeight="1" x14ac:dyDescent="0.2">
      <c r="A2" s="215" t="s">
        <v>143</v>
      </c>
      <c r="B2" s="215"/>
      <c r="C2" s="215"/>
      <c r="D2" s="215"/>
      <c r="E2" s="215"/>
      <c r="F2" s="215"/>
      <c r="G2" s="215"/>
      <c r="H2" s="215"/>
      <c r="I2" s="215"/>
    </row>
    <row r="4" spans="1:9" ht="35.25" customHeight="1" x14ac:dyDescent="0.2">
      <c r="A4" s="57" t="s">
        <v>134</v>
      </c>
      <c r="B4" s="57" t="s">
        <v>144</v>
      </c>
      <c r="C4" s="57" t="s">
        <v>136</v>
      </c>
      <c r="D4" s="57" t="s">
        <v>137</v>
      </c>
      <c r="E4" s="57" t="s">
        <v>138</v>
      </c>
      <c r="F4" s="57" t="s">
        <v>145</v>
      </c>
      <c r="G4" s="57" t="s">
        <v>146</v>
      </c>
      <c r="H4" s="57" t="s">
        <v>147</v>
      </c>
      <c r="I4" s="57" t="s">
        <v>73</v>
      </c>
    </row>
    <row r="5" spans="1:9" ht="35.25" customHeight="1" x14ac:dyDescent="0.2">
      <c r="A5" s="58" t="s">
        <v>298</v>
      </c>
      <c r="B5" s="59" t="s">
        <v>148</v>
      </c>
      <c r="C5" s="60">
        <v>3500</v>
      </c>
      <c r="D5" s="60">
        <v>0</v>
      </c>
      <c r="E5" s="61">
        <f t="shared" ref="E5:E20" si="0">C5-D5</f>
        <v>3500</v>
      </c>
      <c r="F5" s="59"/>
      <c r="G5" s="62" t="str">
        <f t="shared" ref="G5:G20" si="1">IF(E5&gt;0,"⚠ UNPAID",IF(E5=0,"✓ PAID","—"))</f>
        <v>⚠ UNPAID</v>
      </c>
      <c r="H5" s="63"/>
      <c r="I5" s="64" t="s">
        <v>300</v>
      </c>
    </row>
    <row r="6" spans="1:9" ht="35.25" customHeight="1" x14ac:dyDescent="0.2">
      <c r="A6" s="39" t="s">
        <v>149</v>
      </c>
      <c r="B6" s="44" t="s">
        <v>150</v>
      </c>
      <c r="C6" s="65">
        <v>95000</v>
      </c>
      <c r="D6" s="65">
        <v>0</v>
      </c>
      <c r="E6" s="66">
        <f t="shared" si="0"/>
        <v>95000</v>
      </c>
      <c r="F6" s="44"/>
      <c r="G6" s="67" t="str">
        <f t="shared" si="1"/>
        <v>⚠ UNPAID</v>
      </c>
      <c r="H6" s="46"/>
      <c r="I6" s="47" t="s">
        <v>151</v>
      </c>
    </row>
    <row r="7" spans="1:9" ht="35.25" customHeight="1" x14ac:dyDescent="0.2">
      <c r="A7" s="58" t="s">
        <v>152</v>
      </c>
      <c r="B7" s="59" t="s">
        <v>153</v>
      </c>
      <c r="C7" s="60">
        <v>20000</v>
      </c>
      <c r="D7" s="60">
        <v>0</v>
      </c>
      <c r="E7" s="61">
        <f t="shared" si="0"/>
        <v>20000</v>
      </c>
      <c r="F7" s="59"/>
      <c r="G7" s="62" t="str">
        <f t="shared" si="1"/>
        <v>⚠ UNPAID</v>
      </c>
      <c r="H7" s="63"/>
      <c r="I7" s="64" t="s">
        <v>151</v>
      </c>
    </row>
    <row r="8" spans="1:9" ht="35.25" customHeight="1" x14ac:dyDescent="0.2">
      <c r="A8" s="39" t="s">
        <v>154</v>
      </c>
      <c r="B8" s="44" t="s">
        <v>153</v>
      </c>
      <c r="C8" s="65">
        <v>60000</v>
      </c>
      <c r="D8" s="65">
        <v>0</v>
      </c>
      <c r="E8" s="66">
        <f>C8-D8</f>
        <v>60000</v>
      </c>
      <c r="F8" s="44"/>
      <c r="G8" s="67" t="str">
        <f t="shared" si="1"/>
        <v>⚠ UNPAID</v>
      </c>
      <c r="H8" s="46"/>
      <c r="I8" s="47" t="s">
        <v>151</v>
      </c>
    </row>
    <row r="9" spans="1:9" ht="35.25" customHeight="1" x14ac:dyDescent="0.2">
      <c r="A9" s="39" t="s">
        <v>299</v>
      </c>
      <c r="B9" s="186">
        <v>46082</v>
      </c>
      <c r="C9" s="65">
        <v>55000</v>
      </c>
      <c r="D9" s="65"/>
      <c r="E9" s="66">
        <f t="shared" ref="E9:E14" si="2">C9-D9</f>
        <v>55000</v>
      </c>
      <c r="F9" s="44"/>
      <c r="G9" s="67" t="str">
        <f t="shared" si="1"/>
        <v>⚠ UNPAID</v>
      </c>
      <c r="H9" s="46"/>
      <c r="I9" s="194" t="s">
        <v>309</v>
      </c>
    </row>
    <row r="10" spans="1:9" ht="35.25" hidden="1" customHeight="1" x14ac:dyDescent="0.2">
      <c r="A10" s="39"/>
      <c r="B10" s="44"/>
      <c r="C10" s="65"/>
      <c r="D10" s="65"/>
      <c r="E10" s="66">
        <f t="shared" si="2"/>
        <v>0</v>
      </c>
      <c r="F10" s="44"/>
      <c r="G10" s="67"/>
      <c r="H10" s="46"/>
      <c r="I10" s="47"/>
    </row>
    <row r="11" spans="1:9" ht="35.25" hidden="1" customHeight="1" x14ac:dyDescent="0.2">
      <c r="A11" s="58" t="s">
        <v>155</v>
      </c>
      <c r="B11" s="59"/>
      <c r="C11" s="60">
        <v>0</v>
      </c>
      <c r="D11" s="60">
        <v>0</v>
      </c>
      <c r="E11" s="66">
        <f t="shared" si="2"/>
        <v>0</v>
      </c>
      <c r="F11" s="59"/>
      <c r="G11" s="62" t="str">
        <f t="shared" si="1"/>
        <v>✓ PAID</v>
      </c>
      <c r="H11" s="63"/>
      <c r="I11" s="64"/>
    </row>
    <row r="12" spans="1:9" ht="35.25" hidden="1" customHeight="1" x14ac:dyDescent="0.2">
      <c r="A12" s="39" t="s">
        <v>63</v>
      </c>
      <c r="B12" s="44"/>
      <c r="C12" s="65">
        <v>0</v>
      </c>
      <c r="D12" s="65">
        <v>0</v>
      </c>
      <c r="E12" s="66">
        <f t="shared" si="2"/>
        <v>0</v>
      </c>
      <c r="F12" s="44"/>
      <c r="G12" s="67" t="str">
        <f t="shared" si="1"/>
        <v>✓ PAID</v>
      </c>
      <c r="H12" s="46"/>
      <c r="I12" s="47"/>
    </row>
    <row r="13" spans="1:9" ht="35.25" hidden="1" customHeight="1" x14ac:dyDescent="0.2">
      <c r="A13" s="58" t="s">
        <v>64</v>
      </c>
      <c r="B13" s="59"/>
      <c r="C13" s="60">
        <v>0</v>
      </c>
      <c r="D13" s="60">
        <v>0</v>
      </c>
      <c r="E13" s="66">
        <f t="shared" si="2"/>
        <v>0</v>
      </c>
      <c r="F13" s="59"/>
      <c r="G13" s="62" t="str">
        <f t="shared" si="1"/>
        <v>✓ PAID</v>
      </c>
      <c r="H13" s="63"/>
      <c r="I13" s="64"/>
    </row>
    <row r="14" spans="1:9" ht="35.25" hidden="1" customHeight="1" x14ac:dyDescent="0.2">
      <c r="A14" s="39" t="s">
        <v>65</v>
      </c>
      <c r="B14" s="44"/>
      <c r="C14" s="65">
        <v>0</v>
      </c>
      <c r="D14" s="65">
        <v>0</v>
      </c>
      <c r="E14" s="66">
        <f t="shared" si="2"/>
        <v>0</v>
      </c>
      <c r="F14" s="44"/>
      <c r="G14" s="67" t="str">
        <f t="shared" si="1"/>
        <v>✓ PAID</v>
      </c>
      <c r="H14" s="46"/>
      <c r="I14" s="47"/>
    </row>
    <row r="15" spans="1:9" ht="35.25" hidden="1" customHeight="1" x14ac:dyDescent="0.2">
      <c r="A15" s="58" t="s">
        <v>66</v>
      </c>
      <c r="B15" s="59"/>
      <c r="C15" s="60">
        <v>0</v>
      </c>
      <c r="D15" s="60">
        <v>0</v>
      </c>
      <c r="E15" s="61">
        <f t="shared" si="0"/>
        <v>0</v>
      </c>
      <c r="F15" s="59"/>
      <c r="G15" s="62" t="str">
        <f t="shared" si="1"/>
        <v>✓ PAID</v>
      </c>
      <c r="H15" s="63"/>
      <c r="I15" s="64"/>
    </row>
    <row r="16" spans="1:9" ht="35.25" hidden="1" customHeight="1" x14ac:dyDescent="0.2">
      <c r="A16" s="39" t="s">
        <v>280</v>
      </c>
      <c r="B16" s="44"/>
      <c r="C16" s="65">
        <v>0</v>
      </c>
      <c r="D16" s="65">
        <v>0</v>
      </c>
      <c r="E16" s="66">
        <f t="shared" si="0"/>
        <v>0</v>
      </c>
      <c r="F16" s="44"/>
      <c r="G16" s="67" t="str">
        <f t="shared" si="1"/>
        <v>✓ PAID</v>
      </c>
      <c r="H16" s="46"/>
      <c r="I16" s="47"/>
    </row>
    <row r="17" spans="1:9" ht="35.25" hidden="1" customHeight="1" x14ac:dyDescent="0.2">
      <c r="A17" s="58" t="s">
        <v>67</v>
      </c>
      <c r="B17" s="59"/>
      <c r="C17" s="60">
        <v>0</v>
      </c>
      <c r="D17" s="60">
        <v>0</v>
      </c>
      <c r="E17" s="61">
        <f t="shared" si="0"/>
        <v>0</v>
      </c>
      <c r="F17" s="59"/>
      <c r="G17" s="62" t="str">
        <f t="shared" si="1"/>
        <v>✓ PAID</v>
      </c>
      <c r="H17" s="63"/>
      <c r="I17" s="64"/>
    </row>
    <row r="18" spans="1:9" ht="35.25" hidden="1" customHeight="1" x14ac:dyDescent="0.2">
      <c r="A18" s="39" t="s">
        <v>156</v>
      </c>
      <c r="B18" s="44"/>
      <c r="C18" s="65">
        <v>0</v>
      </c>
      <c r="D18" s="65">
        <v>0</v>
      </c>
      <c r="E18" s="66">
        <f t="shared" si="0"/>
        <v>0</v>
      </c>
      <c r="F18" s="44"/>
      <c r="G18" s="67" t="str">
        <f t="shared" si="1"/>
        <v>✓ PAID</v>
      </c>
      <c r="H18" s="46"/>
      <c r="I18" s="47"/>
    </row>
    <row r="19" spans="1:9" ht="35.25" hidden="1" customHeight="1" x14ac:dyDescent="0.2">
      <c r="A19" s="58" t="s">
        <v>157</v>
      </c>
      <c r="B19" s="59"/>
      <c r="C19" s="60">
        <v>0</v>
      </c>
      <c r="D19" s="60">
        <v>0</v>
      </c>
      <c r="E19" s="61">
        <f t="shared" si="0"/>
        <v>0</v>
      </c>
      <c r="F19" s="59"/>
      <c r="G19" s="62" t="str">
        <f t="shared" si="1"/>
        <v>✓ PAID</v>
      </c>
      <c r="H19" s="63"/>
      <c r="I19" s="64"/>
    </row>
    <row r="20" spans="1:9" ht="35.25" hidden="1" customHeight="1" x14ac:dyDescent="0.2">
      <c r="A20" s="39" t="s">
        <v>158</v>
      </c>
      <c r="B20" s="44"/>
      <c r="C20" s="65">
        <v>0</v>
      </c>
      <c r="D20" s="65">
        <v>0</v>
      </c>
      <c r="E20" s="66">
        <f t="shared" si="0"/>
        <v>0</v>
      </c>
      <c r="F20" s="44"/>
      <c r="G20" s="67" t="str">
        <f t="shared" si="1"/>
        <v>✓ PAID</v>
      </c>
      <c r="H20" s="46"/>
      <c r="I20" s="47"/>
    </row>
    <row r="21" spans="1:9" ht="35.25" customHeight="1" x14ac:dyDescent="0.2">
      <c r="A21" s="223" t="s">
        <v>139</v>
      </c>
      <c r="B21" s="223"/>
      <c r="C21" s="68">
        <f>SUM(C5:C20)</f>
        <v>233500</v>
      </c>
      <c r="D21" s="68">
        <f>SUM(D5:D20)</f>
        <v>0</v>
      </c>
      <c r="E21" s="69">
        <f>SUM(E5:E20)</f>
        <v>233500</v>
      </c>
      <c r="F21" s="56"/>
      <c r="G21" s="56"/>
      <c r="H21" s="56"/>
      <c r="I21" s="56"/>
    </row>
  </sheetData>
  <mergeCells count="3">
    <mergeCell ref="A1:I1"/>
    <mergeCell ref="A2:I2"/>
    <mergeCell ref="A21:B21"/>
  </mergeCells>
  <conditionalFormatting sqref="E5:E20">
    <cfRule type="cellIs" dxfId="3" priority="2" operator="greaterThan">
      <formula>0</formula>
    </cfRule>
    <cfRule type="cellIs" dxfId="2" priority="3" operator="equal">
      <formula>0</formula>
    </cfRule>
  </conditionalFormatting>
  <conditionalFormatting sqref="G5:G20">
    <cfRule type="expression" dxfId="1" priority="4">
      <formula>E5&gt;0</formula>
    </cfRule>
    <cfRule type="expression" dxfId="0" priority="5">
      <formula>E5=0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topLeftCell="C1" zoomScale="95" zoomScaleNormal="95" workbookViewId="0">
      <selection activeCell="Q7" sqref="Q7"/>
    </sheetView>
  </sheetViews>
  <sheetFormatPr defaultColWidth="8.7421875" defaultRowHeight="15" x14ac:dyDescent="0.2"/>
  <cols>
    <col min="1" max="1" width="10.22265625" customWidth="1"/>
    <col min="2" max="2" width="25.01953125" customWidth="1"/>
    <col min="3" max="4" width="10.22265625" customWidth="1"/>
    <col min="5" max="5" width="9.953125" customWidth="1"/>
    <col min="6" max="6" width="11.296875" customWidth="1"/>
    <col min="7" max="10" width="12.23828125" customWidth="1"/>
    <col min="12" max="12" width="10.4921875" customWidth="1"/>
    <col min="16" max="16" width="13.85546875" customWidth="1"/>
    <col min="18" max="18" width="9.28125" bestFit="1" customWidth="1"/>
  </cols>
  <sheetData>
    <row r="1" spans="1:18" ht="19.5" customHeight="1" x14ac:dyDescent="0.2">
      <c r="A1" s="233" t="s">
        <v>159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</row>
    <row r="2" spans="1:18" ht="15.75" customHeight="1" x14ac:dyDescent="0.2">
      <c r="B2" s="234"/>
      <c r="C2" s="234"/>
      <c r="D2" s="234"/>
      <c r="E2" s="234"/>
      <c r="F2" s="234"/>
      <c r="G2" s="234"/>
      <c r="P2" t="s">
        <v>160</v>
      </c>
      <c r="Q2" t="s">
        <v>161</v>
      </c>
      <c r="R2" t="s">
        <v>162</v>
      </c>
    </row>
    <row r="3" spans="1:18" ht="15" customHeight="1" x14ac:dyDescent="0.2">
      <c r="B3" s="3" t="s">
        <v>16</v>
      </c>
      <c r="C3" s="70"/>
      <c r="D3" s="70"/>
      <c r="E3" s="70"/>
      <c r="F3" s="70"/>
      <c r="G3" s="70"/>
      <c r="P3">
        <v>1000</v>
      </c>
      <c r="Q3">
        <v>1</v>
      </c>
      <c r="R3" s="200">
        <f>Q3*P3</f>
        <v>1000</v>
      </c>
    </row>
    <row r="4" spans="1:18" ht="15" customHeight="1" x14ac:dyDescent="0.2">
      <c r="B4" s="5">
        <v>46082</v>
      </c>
      <c r="C4" s="6" t="s">
        <v>9</v>
      </c>
      <c r="D4" s="7">
        <v>4290</v>
      </c>
      <c r="E4" s="7">
        <v>0</v>
      </c>
      <c r="F4" s="8">
        <v>4290</v>
      </c>
      <c r="G4" s="9">
        <v>4000</v>
      </c>
      <c r="H4" s="187"/>
      <c r="I4" s="187"/>
      <c r="J4" s="187"/>
      <c r="P4">
        <v>500</v>
      </c>
      <c r="Q4">
        <v>0</v>
      </c>
      <c r="R4" s="200">
        <f t="shared" ref="R4:R13" si="0">Q4*P4</f>
        <v>0</v>
      </c>
    </row>
    <row r="5" spans="1:18" ht="15" customHeight="1" x14ac:dyDescent="0.2">
      <c r="B5" s="5">
        <v>46089</v>
      </c>
      <c r="C5" s="6" t="s">
        <v>10</v>
      </c>
      <c r="D5" s="7">
        <v>3160</v>
      </c>
      <c r="E5" s="7">
        <v>0</v>
      </c>
      <c r="F5" s="8">
        <v>3160</v>
      </c>
      <c r="G5" s="9">
        <v>2500</v>
      </c>
      <c r="H5" s="187"/>
      <c r="I5" s="187"/>
      <c r="J5" s="187"/>
      <c r="K5" s="71"/>
      <c r="P5">
        <v>200</v>
      </c>
      <c r="Q5">
        <v>1</v>
      </c>
      <c r="R5" s="200">
        <f t="shared" si="0"/>
        <v>200</v>
      </c>
    </row>
    <row r="6" spans="1:18" ht="15" customHeight="1" x14ac:dyDescent="0.2">
      <c r="B6" s="5">
        <v>46096</v>
      </c>
      <c r="C6" s="6" t="s">
        <v>11</v>
      </c>
      <c r="D6" s="7">
        <v>6310</v>
      </c>
      <c r="E6" s="7">
        <v>0</v>
      </c>
      <c r="F6" s="8">
        <v>6310</v>
      </c>
      <c r="G6" s="9"/>
      <c r="H6" s="187"/>
      <c r="I6" s="187"/>
      <c r="J6" s="187"/>
      <c r="L6" t="s">
        <v>163</v>
      </c>
      <c r="P6">
        <v>100</v>
      </c>
      <c r="Q6">
        <v>4</v>
      </c>
      <c r="R6" s="200">
        <f t="shared" si="0"/>
        <v>400</v>
      </c>
    </row>
    <row r="7" spans="1:18" ht="15.75" customHeight="1" x14ac:dyDescent="0.2">
      <c r="B7" s="5">
        <v>46103</v>
      </c>
      <c r="C7" s="6" t="s">
        <v>12</v>
      </c>
      <c r="D7" s="7">
        <v>4680</v>
      </c>
      <c r="E7" s="7">
        <v>0</v>
      </c>
      <c r="F7" s="8">
        <v>4680</v>
      </c>
      <c r="G7" s="9">
        <v>5000</v>
      </c>
      <c r="H7" s="187"/>
      <c r="I7" s="187"/>
      <c r="J7" s="187"/>
      <c r="L7" t="s">
        <v>164</v>
      </c>
      <c r="M7" s="72">
        <v>2500</v>
      </c>
      <c r="P7">
        <v>50</v>
      </c>
      <c r="Q7">
        <v>3</v>
      </c>
      <c r="R7" s="200">
        <f t="shared" si="0"/>
        <v>150</v>
      </c>
    </row>
    <row r="8" spans="1:18" ht="15.75" customHeight="1" x14ac:dyDescent="0.2">
      <c r="B8" s="235">
        <v>46110</v>
      </c>
      <c r="C8" s="235"/>
      <c r="D8" s="7">
        <v>0</v>
      </c>
      <c r="E8" s="7">
        <v>0</v>
      </c>
      <c r="F8" s="8">
        <v>0</v>
      </c>
      <c r="G8" s="9"/>
      <c r="H8" s="187"/>
      <c r="I8" s="187"/>
      <c r="J8" s="187"/>
      <c r="L8" t="s">
        <v>165</v>
      </c>
      <c r="M8" s="72">
        <v>2500</v>
      </c>
      <c r="P8">
        <v>40</v>
      </c>
      <c r="Q8">
        <v>0</v>
      </c>
      <c r="R8" s="200">
        <f t="shared" si="0"/>
        <v>0</v>
      </c>
    </row>
    <row r="9" spans="1:18" ht="15" customHeight="1" x14ac:dyDescent="0.2">
      <c r="B9" s="2" t="s">
        <v>18</v>
      </c>
      <c r="C9" s="73"/>
      <c r="D9" s="10">
        <v>18440</v>
      </c>
      <c r="E9" s="10">
        <v>0</v>
      </c>
      <c r="F9" s="10">
        <v>18440</v>
      </c>
      <c r="G9" s="10"/>
      <c r="H9" s="76"/>
      <c r="I9" s="76"/>
      <c r="J9" s="76"/>
      <c r="L9" t="s">
        <v>166</v>
      </c>
      <c r="M9" s="72">
        <v>2500</v>
      </c>
      <c r="P9">
        <v>20</v>
      </c>
      <c r="Q9">
        <v>2</v>
      </c>
      <c r="R9" s="200">
        <f t="shared" si="0"/>
        <v>40</v>
      </c>
    </row>
    <row r="10" spans="1:18" ht="15" customHeight="1" x14ac:dyDescent="0.2">
      <c r="B10" s="74" t="s">
        <v>167</v>
      </c>
      <c r="C10" s="75"/>
      <c r="D10" s="76"/>
      <c r="E10" s="76"/>
      <c r="F10" s="76">
        <v>12200</v>
      </c>
      <c r="G10" s="76"/>
      <c r="H10" s="76"/>
      <c r="I10" s="76"/>
      <c r="J10" s="76"/>
      <c r="M10" s="72"/>
      <c r="R10" s="200">
        <f t="shared" si="0"/>
        <v>0</v>
      </c>
    </row>
    <row r="11" spans="1:18" ht="15" customHeight="1" x14ac:dyDescent="0.2">
      <c r="A11" t="s">
        <v>168</v>
      </c>
      <c r="B11" t="s">
        <v>169</v>
      </c>
      <c r="F11" s="72">
        <v>20600</v>
      </c>
      <c r="L11" t="s">
        <v>66</v>
      </c>
      <c r="M11" s="72">
        <v>4200</v>
      </c>
      <c r="P11">
        <v>10</v>
      </c>
      <c r="Q11">
        <v>0</v>
      </c>
      <c r="R11" s="200">
        <f t="shared" si="0"/>
        <v>0</v>
      </c>
    </row>
    <row r="12" spans="1:18" ht="15" customHeight="1" x14ac:dyDescent="0.2">
      <c r="B12" s="77" t="s">
        <v>170</v>
      </c>
      <c r="C12" s="77"/>
      <c r="D12" s="78"/>
      <c r="E12" s="78"/>
      <c r="F12" s="78">
        <v>51240</v>
      </c>
      <c r="L12" t="s">
        <v>67</v>
      </c>
      <c r="M12" s="72">
        <v>500</v>
      </c>
      <c r="P12">
        <v>5</v>
      </c>
      <c r="R12" s="200">
        <f t="shared" si="0"/>
        <v>0</v>
      </c>
    </row>
    <row r="13" spans="1:18" ht="15" customHeight="1" x14ac:dyDescent="0.2">
      <c r="D13" s="72"/>
      <c r="E13" s="72"/>
      <c r="F13" s="72"/>
      <c r="M13" s="79">
        <v>12200</v>
      </c>
      <c r="P13">
        <v>1</v>
      </c>
      <c r="R13" s="200">
        <f t="shared" si="0"/>
        <v>0</v>
      </c>
    </row>
    <row r="14" spans="1:18" ht="15" customHeight="1" x14ac:dyDescent="0.2">
      <c r="A14" t="s">
        <v>171</v>
      </c>
      <c r="B14" t="s">
        <v>163</v>
      </c>
      <c r="D14" s="72"/>
      <c r="E14" s="72">
        <v>12200</v>
      </c>
      <c r="F14" s="72"/>
      <c r="G14" t="s">
        <v>172</v>
      </c>
      <c r="Q14" t="s">
        <v>162</v>
      </c>
      <c r="R14" s="200">
        <f>SUM(R3:R13)</f>
        <v>1790</v>
      </c>
    </row>
    <row r="15" spans="1:18" ht="15" customHeight="1" x14ac:dyDescent="0.2">
      <c r="B15" t="s">
        <v>279</v>
      </c>
      <c r="D15" s="72"/>
      <c r="E15" s="72">
        <v>4000</v>
      </c>
      <c r="F15" s="72"/>
    </row>
    <row r="16" spans="1:18" ht="15" customHeight="1" x14ac:dyDescent="0.2">
      <c r="B16" t="s">
        <v>173</v>
      </c>
      <c r="D16" s="72"/>
      <c r="E16" s="72">
        <v>500</v>
      </c>
      <c r="F16" s="72"/>
      <c r="G16" t="s">
        <v>174</v>
      </c>
    </row>
    <row r="17" spans="1:7" ht="15" customHeight="1" x14ac:dyDescent="0.2">
      <c r="B17" t="s">
        <v>175</v>
      </c>
      <c r="D17" s="72"/>
      <c r="E17" s="72">
        <v>360</v>
      </c>
      <c r="F17" s="72"/>
    </row>
    <row r="18" spans="1:7" ht="15" customHeight="1" x14ac:dyDescent="0.2">
      <c r="D18" s="72"/>
      <c r="E18" s="72"/>
      <c r="F18" s="72"/>
    </row>
    <row r="19" spans="1:7" ht="15" customHeight="1" x14ac:dyDescent="0.2">
      <c r="A19" t="s">
        <v>176</v>
      </c>
      <c r="B19" t="s">
        <v>163</v>
      </c>
      <c r="D19" s="72"/>
      <c r="E19" s="72">
        <v>12200</v>
      </c>
      <c r="F19" s="72"/>
      <c r="G19" t="s">
        <v>172</v>
      </c>
    </row>
    <row r="20" spans="1:7" ht="15" customHeight="1" x14ac:dyDescent="0.2">
      <c r="B20" t="s">
        <v>279</v>
      </c>
      <c r="D20" s="72"/>
      <c r="E20" s="72">
        <v>5000</v>
      </c>
      <c r="F20" s="72"/>
      <c r="G20" t="s">
        <v>177</v>
      </c>
    </row>
    <row r="21" spans="1:7" ht="15" customHeight="1" x14ac:dyDescent="0.2">
      <c r="B21" t="s">
        <v>173</v>
      </c>
      <c r="D21" s="72"/>
      <c r="E21" s="72">
        <v>500</v>
      </c>
      <c r="F21" s="72"/>
      <c r="G21" t="s">
        <v>174</v>
      </c>
    </row>
    <row r="22" spans="1:7" ht="15" customHeight="1" x14ac:dyDescent="0.2">
      <c r="B22" t="s">
        <v>178</v>
      </c>
      <c r="D22" s="72"/>
      <c r="E22" s="72">
        <v>1000</v>
      </c>
      <c r="F22" s="72"/>
      <c r="G22" t="s">
        <v>179</v>
      </c>
    </row>
    <row r="23" spans="1:7" ht="15" customHeight="1" x14ac:dyDescent="0.2">
      <c r="D23" s="72"/>
      <c r="E23" s="72">
        <v>0</v>
      </c>
      <c r="F23" s="72"/>
    </row>
    <row r="24" spans="1:7" ht="15" customHeight="1" x14ac:dyDescent="0.2">
      <c r="A24" t="s">
        <v>180</v>
      </c>
      <c r="B24" t="s">
        <v>163</v>
      </c>
      <c r="D24" s="72"/>
      <c r="E24" s="72">
        <v>12200</v>
      </c>
      <c r="F24" s="72"/>
      <c r="G24" t="s">
        <v>172</v>
      </c>
    </row>
    <row r="25" spans="1:7" ht="15" customHeight="1" x14ac:dyDescent="0.2">
      <c r="B25" t="s">
        <v>279</v>
      </c>
      <c r="D25" s="72"/>
      <c r="E25" s="72">
        <v>5000</v>
      </c>
      <c r="F25" s="72"/>
    </row>
    <row r="26" spans="1:7" ht="15" customHeight="1" x14ac:dyDescent="0.2">
      <c r="B26" t="s">
        <v>173</v>
      </c>
      <c r="D26" s="72"/>
      <c r="E26" s="72">
        <v>500</v>
      </c>
      <c r="F26" s="72"/>
      <c r="G26" t="s">
        <v>174</v>
      </c>
    </row>
    <row r="27" spans="1:7" ht="15" customHeight="1" x14ac:dyDescent="0.2">
      <c r="A27" t="s">
        <v>277</v>
      </c>
      <c r="B27" t="s">
        <v>278</v>
      </c>
      <c r="D27" s="72"/>
      <c r="E27" s="72">
        <v>600</v>
      </c>
      <c r="F27" s="72"/>
    </row>
    <row r="28" spans="1:7" ht="15" customHeight="1" x14ac:dyDescent="0.2">
      <c r="D28" s="72"/>
      <c r="E28" s="72">
        <v>0</v>
      </c>
      <c r="F28" s="72"/>
    </row>
    <row r="29" spans="1:7" ht="15" customHeight="1" x14ac:dyDescent="0.2">
      <c r="D29" s="72"/>
      <c r="E29" s="72">
        <v>0</v>
      </c>
      <c r="F29" s="72"/>
    </row>
    <row r="30" spans="1:7" ht="15" customHeight="1" x14ac:dyDescent="0.2">
      <c r="E30" s="72">
        <v>0</v>
      </c>
    </row>
    <row r="31" spans="1:7" ht="15" customHeight="1" x14ac:dyDescent="0.2">
      <c r="E31" s="72">
        <v>0</v>
      </c>
    </row>
    <row r="32" spans="1:7" ht="15" customHeight="1" x14ac:dyDescent="0.2">
      <c r="E32" s="72">
        <v>0</v>
      </c>
    </row>
    <row r="33" spans="1:11" ht="15.75" customHeight="1" x14ac:dyDescent="0.2">
      <c r="B33" s="80" t="s">
        <v>181</v>
      </c>
    </row>
    <row r="34" spans="1:11" ht="15.75" customHeight="1" x14ac:dyDescent="0.2">
      <c r="A34" s="81">
        <v>1</v>
      </c>
      <c r="B34" s="82" t="s">
        <v>149</v>
      </c>
      <c r="E34" s="83">
        <v>95000</v>
      </c>
      <c r="G34" s="84" t="s">
        <v>182</v>
      </c>
      <c r="H34" s="84"/>
      <c r="I34" s="84"/>
      <c r="J34" s="84"/>
    </row>
    <row r="35" spans="1:11" ht="15.75" customHeight="1" x14ac:dyDescent="0.2">
      <c r="A35" s="81">
        <v>2</v>
      </c>
      <c r="B35" s="82" t="s">
        <v>152</v>
      </c>
      <c r="E35" s="83">
        <v>20000</v>
      </c>
      <c r="G35" s="84" t="s">
        <v>182</v>
      </c>
      <c r="H35" s="84"/>
      <c r="I35" s="84"/>
      <c r="J35" s="84"/>
    </row>
    <row r="36" spans="1:11" ht="15" customHeight="1" x14ac:dyDescent="0.2">
      <c r="A36" s="81">
        <v>3</v>
      </c>
      <c r="B36" s="82" t="s">
        <v>154</v>
      </c>
      <c r="E36" s="83">
        <v>60000</v>
      </c>
      <c r="G36" s="84" t="s">
        <v>182</v>
      </c>
      <c r="H36" s="84"/>
      <c r="I36" s="84"/>
      <c r="J36" s="84"/>
    </row>
    <row r="37" spans="1:11" ht="15" customHeight="1" x14ac:dyDescent="0.2">
      <c r="A37" s="81">
        <v>4</v>
      </c>
      <c r="B37" t="s">
        <v>178</v>
      </c>
      <c r="E37" s="76">
        <v>3000</v>
      </c>
    </row>
    <row r="38" spans="1:11" ht="15" customHeight="1" x14ac:dyDescent="0.2">
      <c r="A38" s="81">
        <v>5</v>
      </c>
      <c r="B38" s="81" t="s">
        <v>155</v>
      </c>
      <c r="E38" s="76">
        <v>500</v>
      </c>
    </row>
    <row r="40" spans="1:11" x14ac:dyDescent="0.2">
      <c r="J40" t="s">
        <v>318</v>
      </c>
      <c r="K40">
        <v>3500</v>
      </c>
    </row>
  </sheetData>
  <mergeCells count="3">
    <mergeCell ref="A1:R1"/>
    <mergeCell ref="B2:G2"/>
    <mergeCell ref="B8:C8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F2B0-D8B6-42DE-BD58-DC31F459B85F}">
  <dimension ref="B1:B12"/>
  <sheetViews>
    <sheetView workbookViewId="0">
      <selection activeCell="B13" sqref="B13"/>
    </sheetView>
  </sheetViews>
  <sheetFormatPr defaultRowHeight="15" x14ac:dyDescent="0.2"/>
  <cols>
    <col min="2" max="2" width="140.171875" bestFit="1" customWidth="1"/>
  </cols>
  <sheetData>
    <row r="1" spans="2:2" x14ac:dyDescent="0.2">
      <c r="B1" t="s">
        <v>287</v>
      </c>
    </row>
    <row r="2" spans="2:2" x14ac:dyDescent="0.2">
      <c r="B2" t="s">
        <v>284</v>
      </c>
    </row>
    <row r="3" spans="2:2" x14ac:dyDescent="0.2">
      <c r="B3" t="s">
        <v>285</v>
      </c>
    </row>
    <row r="4" spans="2:2" x14ac:dyDescent="0.2">
      <c r="B4" t="s">
        <v>286</v>
      </c>
    </row>
    <row r="5" spans="2:2" x14ac:dyDescent="0.2">
      <c r="B5" t="s">
        <v>288</v>
      </c>
    </row>
    <row r="6" spans="2:2" x14ac:dyDescent="0.2">
      <c r="B6" t="s">
        <v>289</v>
      </c>
    </row>
    <row r="7" spans="2:2" x14ac:dyDescent="0.2">
      <c r="B7" t="s">
        <v>290</v>
      </c>
    </row>
    <row r="8" spans="2:2" x14ac:dyDescent="0.2">
      <c r="B8" t="s">
        <v>291</v>
      </c>
    </row>
    <row r="9" spans="2:2" x14ac:dyDescent="0.2">
      <c r="B9" t="s">
        <v>292</v>
      </c>
    </row>
    <row r="10" spans="2:2" x14ac:dyDescent="0.2">
      <c r="B10" t="s">
        <v>293</v>
      </c>
    </row>
    <row r="11" spans="2:2" x14ac:dyDescent="0.2">
      <c r="B11" t="s">
        <v>294</v>
      </c>
    </row>
    <row r="12" spans="2:2" x14ac:dyDescent="0.2">
      <c r="B12" t="s">
        <v>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4"/>
  <sheetViews>
    <sheetView topLeftCell="B13" zoomScale="120" zoomScaleNormal="120" workbookViewId="0">
      <pane ySplit="3" topLeftCell="B33" activePane="bottomLeft" state="frozen"/>
      <selection activeCell="B13" sqref="B13"/>
      <selection pane="bottomLeft" activeCell="E58" sqref="E58"/>
    </sheetView>
  </sheetViews>
  <sheetFormatPr defaultColWidth="9.14453125" defaultRowHeight="15.75" x14ac:dyDescent="0.25"/>
  <cols>
    <col min="1" max="1" width="3.765625" style="85" hidden="1" customWidth="1"/>
    <col min="2" max="2" width="33.49609375" style="85" customWidth="1"/>
    <col min="3" max="3" width="11.56640625" style="85" customWidth="1"/>
    <col min="4" max="4" width="12.77734375" style="85" customWidth="1"/>
    <col min="5" max="5" width="15.87109375" style="85" customWidth="1"/>
    <col min="6" max="8" width="12.77734375" style="85" customWidth="1"/>
    <col min="9" max="9" width="15.33203125" style="85" customWidth="1"/>
    <col min="10" max="10" width="12.77734375" style="85" customWidth="1"/>
    <col min="11" max="11" width="14.2578125" style="85" customWidth="1"/>
    <col min="12" max="12" width="13.5859375" style="85" customWidth="1"/>
    <col min="13" max="15" width="12.77734375" style="85" customWidth="1"/>
    <col min="16" max="16" width="14.52734375" style="85" customWidth="1"/>
    <col min="17" max="16384" width="9.14453125" style="85"/>
  </cols>
  <sheetData>
    <row r="1" spans="1:16" s="86" customFormat="1" ht="18.75" customHeight="1" x14ac:dyDescent="0.25">
      <c r="A1" s="236" t="s">
        <v>183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</row>
    <row r="2" spans="1:16" s="86" customFormat="1" ht="18.75" customHeight="1" x14ac:dyDescent="0.25">
      <c r="A2" s="87"/>
      <c r="B2" s="87"/>
      <c r="C2" s="87"/>
      <c r="D2" s="87"/>
      <c r="E2" s="87"/>
      <c r="F2" s="87"/>
      <c r="G2" s="236" t="s">
        <v>184</v>
      </c>
      <c r="H2" s="236"/>
      <c r="I2" s="236"/>
      <c r="J2" s="236"/>
      <c r="K2" s="87"/>
      <c r="L2" s="87"/>
      <c r="M2" s="87"/>
      <c r="N2" s="87"/>
      <c r="O2" s="87"/>
    </row>
    <row r="3" spans="1:16" s="88" customFormat="1" ht="9" customHeight="1" x14ac:dyDescent="0.2"/>
    <row r="4" spans="1:16" s="88" customFormat="1" ht="15.75" customHeight="1" x14ac:dyDescent="0.2">
      <c r="A4" s="89" t="s">
        <v>185</v>
      </c>
      <c r="B4" s="89" t="s">
        <v>186</v>
      </c>
      <c r="C4" s="89" t="s">
        <v>187</v>
      </c>
      <c r="D4" s="89" t="s">
        <v>44</v>
      </c>
      <c r="E4" s="89" t="s">
        <v>45</v>
      </c>
      <c r="F4" s="89" t="s">
        <v>46</v>
      </c>
      <c r="G4" s="89" t="s">
        <v>47</v>
      </c>
      <c r="H4" s="89" t="s">
        <v>48</v>
      </c>
      <c r="I4" s="89" t="s">
        <v>49</v>
      </c>
      <c r="J4" s="89" t="s">
        <v>50</v>
      </c>
      <c r="K4" s="89" t="s">
        <v>51</v>
      </c>
      <c r="L4" s="89" t="s">
        <v>52</v>
      </c>
      <c r="M4" s="89" t="s">
        <v>41</v>
      </c>
      <c r="N4" s="89" t="s">
        <v>42</v>
      </c>
      <c r="O4" s="90" t="s">
        <v>43</v>
      </c>
      <c r="P4" s="91" t="s">
        <v>188</v>
      </c>
    </row>
    <row r="5" spans="1:16" ht="17.25" customHeight="1" x14ac:dyDescent="0.2">
      <c r="B5" s="92" t="s">
        <v>189</v>
      </c>
      <c r="C5" s="93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5"/>
      <c r="P5" s="96"/>
    </row>
    <row r="6" spans="1:16" ht="16.5" customHeight="1" x14ac:dyDescent="0.2">
      <c r="A6" s="85">
        <v>1</v>
      </c>
      <c r="B6" s="97" t="s">
        <v>190</v>
      </c>
      <c r="C6" s="98" t="s">
        <v>191</v>
      </c>
      <c r="D6" s="99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1">
        <f t="shared" ref="P6:P12" si="0">SUM(D6:O6)</f>
        <v>0</v>
      </c>
    </row>
    <row r="7" spans="1:16" ht="16.5" customHeight="1" x14ac:dyDescent="0.2">
      <c r="A7" s="85">
        <v>2</v>
      </c>
      <c r="B7" s="102" t="s">
        <v>192</v>
      </c>
      <c r="C7" s="103" t="s">
        <v>193</v>
      </c>
      <c r="D7" s="104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6">
        <f t="shared" si="0"/>
        <v>0</v>
      </c>
    </row>
    <row r="8" spans="1:16" ht="16.5" customHeight="1" x14ac:dyDescent="0.2">
      <c r="B8" s="107" t="s">
        <v>194</v>
      </c>
      <c r="C8" s="103" t="s">
        <v>195</v>
      </c>
      <c r="D8" s="108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10"/>
      <c r="P8" s="106">
        <f t="shared" si="0"/>
        <v>0</v>
      </c>
    </row>
    <row r="9" spans="1:16" ht="16.5" customHeight="1" x14ac:dyDescent="0.2">
      <c r="B9" s="107" t="s">
        <v>196</v>
      </c>
      <c r="C9" s="103" t="s">
        <v>197</v>
      </c>
      <c r="D9" s="108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10"/>
      <c r="P9" s="106">
        <f t="shared" si="0"/>
        <v>0</v>
      </c>
    </row>
    <row r="10" spans="1:16" ht="16.5" customHeight="1" x14ac:dyDescent="0.2">
      <c r="B10" s="107" t="s">
        <v>198</v>
      </c>
      <c r="C10" s="103" t="s">
        <v>199</v>
      </c>
      <c r="D10" s="108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6">
        <f t="shared" si="0"/>
        <v>0</v>
      </c>
    </row>
    <row r="11" spans="1:16" ht="16.5" customHeight="1" x14ac:dyDescent="0.2">
      <c r="B11" s="107" t="s">
        <v>200</v>
      </c>
      <c r="C11" s="103" t="s">
        <v>201</v>
      </c>
      <c r="D11" s="111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12"/>
      <c r="P11" s="106">
        <f t="shared" si="0"/>
        <v>0</v>
      </c>
    </row>
    <row r="12" spans="1:16" ht="16.5" customHeight="1" x14ac:dyDescent="0.2">
      <c r="A12" s="85">
        <v>3</v>
      </c>
      <c r="B12" s="113" t="s">
        <v>202</v>
      </c>
      <c r="C12" s="114" t="s">
        <v>203</v>
      </c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06">
        <f t="shared" si="0"/>
        <v>0</v>
      </c>
    </row>
    <row r="13" spans="1:16" ht="2.25" customHeight="1" x14ac:dyDescent="0.2">
      <c r="B13" s="117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88"/>
    </row>
    <row r="14" spans="1:16" ht="17.25" customHeight="1" x14ac:dyDescent="0.2">
      <c r="A14" s="88"/>
      <c r="B14" s="119" t="s">
        <v>204</v>
      </c>
      <c r="C14" s="120"/>
      <c r="D14" s="121">
        <f t="shared" ref="D14:O14" si="1">SUM(D6:D12)</f>
        <v>0</v>
      </c>
      <c r="E14" s="122">
        <f t="shared" si="1"/>
        <v>0</v>
      </c>
      <c r="F14" s="122">
        <f t="shared" si="1"/>
        <v>0</v>
      </c>
      <c r="G14" s="122">
        <f t="shared" si="1"/>
        <v>0</v>
      </c>
      <c r="H14" s="122">
        <f t="shared" si="1"/>
        <v>0</v>
      </c>
      <c r="I14" s="122">
        <f t="shared" si="1"/>
        <v>0</v>
      </c>
      <c r="J14" s="122">
        <f t="shared" si="1"/>
        <v>0</v>
      </c>
      <c r="K14" s="122">
        <f t="shared" si="1"/>
        <v>0</v>
      </c>
      <c r="L14" s="122">
        <f t="shared" si="1"/>
        <v>0</v>
      </c>
      <c r="M14" s="122">
        <f t="shared" si="1"/>
        <v>0</v>
      </c>
      <c r="N14" s="122">
        <f t="shared" si="1"/>
        <v>0</v>
      </c>
      <c r="O14" s="123">
        <f t="shared" si="1"/>
        <v>0</v>
      </c>
      <c r="P14" s="124">
        <f>SUM(D14:O14)</f>
        <v>0</v>
      </c>
    </row>
    <row r="15" spans="1:16" ht="8.25" customHeight="1" x14ac:dyDescent="0.2">
      <c r="B15" s="125"/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8"/>
    </row>
    <row r="16" spans="1:16" s="88" customFormat="1" ht="15" customHeight="1" x14ac:dyDescent="0.2">
      <c r="B16" s="129" t="s">
        <v>205</v>
      </c>
      <c r="C16" s="130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2"/>
    </row>
    <row r="17" spans="1:16" s="88" customFormat="1" ht="15" customHeight="1" x14ac:dyDescent="0.2">
      <c r="B17" s="133" t="s">
        <v>206</v>
      </c>
      <c r="C17" s="134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6"/>
    </row>
    <row r="18" spans="1:16" ht="16.5" customHeight="1" x14ac:dyDescent="0.2">
      <c r="A18" s="85">
        <v>1</v>
      </c>
      <c r="B18" s="97" t="s">
        <v>149</v>
      </c>
      <c r="C18" s="98" t="s">
        <v>207</v>
      </c>
      <c r="D18" s="99">
        <v>55000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37"/>
      <c r="P18" s="138">
        <f>SUM(D18:O18)</f>
        <v>55000</v>
      </c>
    </row>
    <row r="19" spans="1:16" ht="16.5" customHeight="1" x14ac:dyDescent="0.2">
      <c r="A19" s="85">
        <v>2</v>
      </c>
      <c r="B19" s="102" t="s">
        <v>208</v>
      </c>
      <c r="C19" s="103" t="s">
        <v>209</v>
      </c>
      <c r="D19" s="104">
        <v>2000</v>
      </c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39"/>
      <c r="P19" s="140">
        <f>SUM(D19:O19)</f>
        <v>2000</v>
      </c>
    </row>
    <row r="20" spans="1:16" ht="16.5" customHeight="1" x14ac:dyDescent="0.2">
      <c r="A20" s="85">
        <v>3</v>
      </c>
      <c r="B20" s="102" t="s">
        <v>210</v>
      </c>
      <c r="C20" s="103" t="s">
        <v>211</v>
      </c>
      <c r="D20" s="104">
        <v>2000</v>
      </c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39"/>
      <c r="P20" s="140">
        <f>SUM(D20:O20)</f>
        <v>2000</v>
      </c>
    </row>
    <row r="21" spans="1:16" ht="16.5" customHeight="1" x14ac:dyDescent="0.2">
      <c r="B21" s="102" t="s">
        <v>212</v>
      </c>
      <c r="C21" s="103" t="s">
        <v>213</v>
      </c>
      <c r="D21" s="141">
        <v>0</v>
      </c>
      <c r="E21" s="139"/>
      <c r="F21" s="139"/>
      <c r="G21" s="105"/>
      <c r="H21" s="105"/>
      <c r="I21" s="105"/>
      <c r="J21" s="105"/>
      <c r="K21" s="105"/>
      <c r="L21" s="105"/>
      <c r="M21" s="142"/>
      <c r="N21" s="142"/>
      <c r="O21" s="143"/>
      <c r="P21" s="140"/>
    </row>
    <row r="22" spans="1:16" ht="16.5" customHeight="1" x14ac:dyDescent="0.2">
      <c r="A22" s="85">
        <v>4</v>
      </c>
      <c r="B22" s="102" t="s">
        <v>214</v>
      </c>
      <c r="C22" s="103" t="s">
        <v>215</v>
      </c>
      <c r="D22" s="104"/>
      <c r="E22" s="139"/>
      <c r="F22" s="139"/>
      <c r="G22" s="105"/>
      <c r="H22" s="105"/>
      <c r="I22" s="105"/>
      <c r="J22" s="105"/>
      <c r="K22" s="105"/>
      <c r="L22" s="105"/>
      <c r="M22" s="142"/>
      <c r="N22" s="142"/>
      <c r="O22" s="143"/>
      <c r="P22" s="140">
        <f>SUM(D22:O22)</f>
        <v>0</v>
      </c>
    </row>
    <row r="23" spans="1:16" ht="16.5" customHeight="1" x14ac:dyDescent="0.2">
      <c r="B23" s="102" t="s">
        <v>216</v>
      </c>
      <c r="C23" s="103" t="s">
        <v>217</v>
      </c>
      <c r="D23" s="141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39"/>
      <c r="P23" s="140">
        <f>SUM(D23:O23)</f>
        <v>0</v>
      </c>
    </row>
    <row r="24" spans="1:16" ht="16.5" customHeight="1" x14ac:dyDescent="0.2">
      <c r="B24" s="102" t="s">
        <v>218</v>
      </c>
      <c r="C24" s="103" t="s">
        <v>219</v>
      </c>
      <c r="D24" s="141">
        <v>2000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43"/>
      <c r="P24" s="140">
        <f>SUM(D24:O24)</f>
        <v>2000</v>
      </c>
    </row>
    <row r="25" spans="1:16" ht="16.5" customHeight="1" x14ac:dyDescent="0.2">
      <c r="B25" s="102" t="s">
        <v>220</v>
      </c>
      <c r="C25" s="103" t="s">
        <v>221</v>
      </c>
      <c r="D25" s="104">
        <v>2000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43"/>
      <c r="P25" s="140">
        <f>SUM(D25:O25)</f>
        <v>2000</v>
      </c>
    </row>
    <row r="26" spans="1:16" ht="16.5" customHeight="1" x14ac:dyDescent="0.2">
      <c r="B26" s="107" t="s">
        <v>222</v>
      </c>
      <c r="C26" s="103" t="s">
        <v>223</v>
      </c>
      <c r="D26" s="108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39"/>
      <c r="P26" s="140">
        <f>SUM(D26:O26)</f>
        <v>0</v>
      </c>
    </row>
    <row r="27" spans="1:16" ht="33" customHeight="1" x14ac:dyDescent="0.2">
      <c r="B27" s="144" t="s">
        <v>224</v>
      </c>
      <c r="C27" s="103" t="s">
        <v>225</v>
      </c>
      <c r="D27" s="108">
        <v>1000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10"/>
      <c r="P27" s="140"/>
    </row>
    <row r="28" spans="1:16" ht="16.5" customHeight="1" x14ac:dyDescent="0.2">
      <c r="B28" s="107" t="s">
        <v>226</v>
      </c>
      <c r="C28" s="103" t="s">
        <v>227</v>
      </c>
      <c r="D28" s="108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10"/>
      <c r="P28" s="140">
        <f t="shared" ref="P28:P33" si="2">SUM(D28:O28)</f>
        <v>0</v>
      </c>
    </row>
    <row r="29" spans="1:16" ht="16.5" customHeight="1" x14ac:dyDescent="0.2">
      <c r="B29" s="107" t="s">
        <v>228</v>
      </c>
      <c r="C29" s="103" t="s">
        <v>229</v>
      </c>
      <c r="D29" s="108">
        <v>2000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10"/>
      <c r="P29" s="140">
        <f t="shared" si="2"/>
        <v>2000</v>
      </c>
    </row>
    <row r="30" spans="1:16" ht="16.5" customHeight="1" x14ac:dyDescent="0.2">
      <c r="B30" s="107" t="s">
        <v>230</v>
      </c>
      <c r="C30" s="103" t="s">
        <v>231</v>
      </c>
      <c r="D30" s="108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10"/>
      <c r="P30" s="140">
        <f t="shared" si="2"/>
        <v>0</v>
      </c>
    </row>
    <row r="31" spans="1:16" ht="16.5" customHeight="1" x14ac:dyDescent="0.2">
      <c r="B31" s="107" t="s">
        <v>232</v>
      </c>
      <c r="C31" s="103" t="s">
        <v>233</v>
      </c>
      <c r="D31" s="108">
        <v>1000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10"/>
      <c r="P31" s="140">
        <f t="shared" si="2"/>
        <v>1000</v>
      </c>
    </row>
    <row r="32" spans="1:16" ht="16.5" customHeight="1" x14ac:dyDescent="0.2">
      <c r="B32" s="107" t="s">
        <v>234</v>
      </c>
      <c r="C32" s="103" t="s">
        <v>235</v>
      </c>
      <c r="D32" s="111">
        <v>0</v>
      </c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  <c r="P32" s="140">
        <f t="shared" si="2"/>
        <v>0</v>
      </c>
    </row>
    <row r="33" spans="1:16" ht="16.5" customHeight="1" x14ac:dyDescent="0.2">
      <c r="B33" s="107" t="s">
        <v>236</v>
      </c>
      <c r="C33" s="103" t="s">
        <v>237</v>
      </c>
      <c r="D33" s="111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45"/>
      <c r="P33" s="146">
        <f t="shared" si="2"/>
        <v>0</v>
      </c>
    </row>
    <row r="34" spans="1:16" s="88" customFormat="1" ht="15" customHeight="1" x14ac:dyDescent="0.2">
      <c r="B34" s="147" t="s">
        <v>204</v>
      </c>
      <c r="C34" s="148"/>
      <c r="D34" s="149">
        <f t="shared" ref="D34:P34" si="3">SUM(D18:D33)</f>
        <v>67000</v>
      </c>
      <c r="E34" s="150">
        <f t="shared" si="3"/>
        <v>0</v>
      </c>
      <c r="F34" s="150">
        <f t="shared" si="3"/>
        <v>0</v>
      </c>
      <c r="G34" s="150">
        <f t="shared" si="3"/>
        <v>0</v>
      </c>
      <c r="H34" s="150">
        <f t="shared" si="3"/>
        <v>0</v>
      </c>
      <c r="I34" s="150">
        <f t="shared" si="3"/>
        <v>0</v>
      </c>
      <c r="J34" s="150">
        <f t="shared" si="3"/>
        <v>0</v>
      </c>
      <c r="K34" s="150">
        <f t="shared" si="3"/>
        <v>0</v>
      </c>
      <c r="L34" s="150">
        <f t="shared" si="3"/>
        <v>0</v>
      </c>
      <c r="M34" s="150">
        <f t="shared" si="3"/>
        <v>0</v>
      </c>
      <c r="N34" s="150">
        <f t="shared" si="3"/>
        <v>0</v>
      </c>
      <c r="O34" s="150">
        <f t="shared" si="3"/>
        <v>0</v>
      </c>
      <c r="P34" s="150">
        <f t="shared" si="3"/>
        <v>66000</v>
      </c>
    </row>
    <row r="35" spans="1:16" s="88" customFormat="1" ht="15.75" customHeight="1" x14ac:dyDescent="0.2">
      <c r="B35" s="129" t="s">
        <v>238</v>
      </c>
      <c r="C35" s="151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3"/>
    </row>
    <row r="36" spans="1:16" s="154" customFormat="1" ht="16.5" customHeight="1" x14ac:dyDescent="0.2">
      <c r="B36" s="155" t="s">
        <v>239</v>
      </c>
      <c r="C36" s="156" t="s">
        <v>240</v>
      </c>
      <c r="D36" s="157">
        <v>10000</v>
      </c>
      <c r="E36" s="158" t="s">
        <v>314</v>
      </c>
      <c r="F36" s="158"/>
      <c r="G36" s="158"/>
      <c r="H36" s="158"/>
      <c r="I36" s="158"/>
      <c r="J36" s="158"/>
      <c r="K36" s="158"/>
      <c r="L36" s="158"/>
      <c r="M36" s="158"/>
      <c r="N36" s="158"/>
      <c r="O36" s="159"/>
      <c r="P36" s="160">
        <f>SUM(D36:O36)</f>
        <v>10000</v>
      </c>
    </row>
    <row r="37" spans="1:16" s="154" customFormat="1" ht="16.5" customHeight="1" x14ac:dyDescent="0.2">
      <c r="B37" s="161" t="s">
        <v>241</v>
      </c>
      <c r="C37" s="162" t="s">
        <v>242</v>
      </c>
      <c r="D37" s="163">
        <v>20000</v>
      </c>
      <c r="E37" s="164" t="s">
        <v>315</v>
      </c>
      <c r="F37" s="164"/>
      <c r="G37" s="164"/>
      <c r="H37" s="164"/>
      <c r="I37" s="164"/>
      <c r="J37" s="164"/>
      <c r="K37" s="164"/>
      <c r="L37" s="164"/>
      <c r="M37" s="164"/>
      <c r="N37" s="164"/>
      <c r="O37" s="165"/>
      <c r="P37" s="166">
        <f>SUM(D37:O37)</f>
        <v>20000</v>
      </c>
    </row>
    <row r="38" spans="1:16" s="167" customFormat="1" ht="16.5" customHeight="1" x14ac:dyDescent="0.2">
      <c r="B38" s="161" t="s">
        <v>243</v>
      </c>
      <c r="C38" s="162" t="s">
        <v>244</v>
      </c>
      <c r="D38" s="163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  <c r="P38" s="166">
        <f>SUM(D38:O38)</f>
        <v>0</v>
      </c>
    </row>
    <row r="39" spans="1:16" s="167" customFormat="1" ht="16.5" customHeight="1" x14ac:dyDescent="0.2">
      <c r="B39" s="161" t="s">
        <v>245</v>
      </c>
      <c r="C39" s="162" t="s">
        <v>246</v>
      </c>
      <c r="D39" s="163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  <c r="P39" s="166">
        <f>SUM(D39:O39)</f>
        <v>0</v>
      </c>
    </row>
    <row r="40" spans="1:16" s="167" customFormat="1" ht="16.5" customHeight="1" x14ac:dyDescent="0.2">
      <c r="B40" s="161" t="s">
        <v>247</v>
      </c>
      <c r="C40" s="162" t="s">
        <v>248</v>
      </c>
      <c r="D40" s="163">
        <v>16800</v>
      </c>
      <c r="E40" s="164" t="s">
        <v>316</v>
      </c>
      <c r="F40" s="164"/>
      <c r="G40" s="164"/>
      <c r="H40" s="164"/>
      <c r="I40" s="164"/>
      <c r="J40" s="164"/>
      <c r="K40" s="164"/>
      <c r="L40" s="164"/>
      <c r="M40" s="164"/>
      <c r="N40" s="164"/>
      <c r="O40" s="165"/>
      <c r="P40" s="166"/>
    </row>
    <row r="41" spans="1:16" s="167" customFormat="1" ht="16.5" customHeight="1" x14ac:dyDescent="0.2">
      <c r="B41" s="161" t="s">
        <v>249</v>
      </c>
      <c r="C41" s="162" t="s">
        <v>250</v>
      </c>
      <c r="D41" s="163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5"/>
      <c r="P41" s="166">
        <f>SUM(D41:O41)</f>
        <v>0</v>
      </c>
    </row>
    <row r="42" spans="1:16" s="167" customFormat="1" ht="16.5" customHeight="1" x14ac:dyDescent="0.2">
      <c r="B42" s="161" t="s">
        <v>251</v>
      </c>
      <c r="C42" s="162" t="s">
        <v>252</v>
      </c>
      <c r="D42" s="163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5"/>
      <c r="P42" s="166"/>
    </row>
    <row r="43" spans="1:16" s="167" customFormat="1" ht="16.5" customHeight="1" x14ac:dyDescent="0.2">
      <c r="B43" s="161" t="s">
        <v>253</v>
      </c>
      <c r="C43" s="162" t="s">
        <v>254</v>
      </c>
      <c r="D43" s="163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5"/>
      <c r="P43" s="166"/>
    </row>
    <row r="44" spans="1:16" s="167" customFormat="1" ht="16.5" customHeight="1" x14ac:dyDescent="0.2">
      <c r="B44" s="161" t="s">
        <v>255</v>
      </c>
      <c r="C44" s="162" t="s">
        <v>256</v>
      </c>
      <c r="D44" s="163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5"/>
      <c r="P44" s="166"/>
    </row>
    <row r="45" spans="1:16" s="167" customFormat="1" ht="16.5" customHeight="1" x14ac:dyDescent="0.2">
      <c r="B45" s="161" t="s">
        <v>257</v>
      </c>
      <c r="C45" s="162" t="s">
        <v>258</v>
      </c>
      <c r="D45" s="163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5"/>
      <c r="P45" s="166">
        <f>SUM(D45:O45)</f>
        <v>0</v>
      </c>
    </row>
    <row r="46" spans="1:16" ht="16.5" customHeight="1" x14ac:dyDescent="0.2">
      <c r="B46" s="102" t="s">
        <v>259</v>
      </c>
      <c r="C46" s="162" t="s">
        <v>260</v>
      </c>
      <c r="D46" s="104">
        <v>20000</v>
      </c>
      <c r="E46" s="105" t="s">
        <v>317</v>
      </c>
      <c r="F46" s="105"/>
      <c r="G46" s="105"/>
      <c r="H46" s="105"/>
      <c r="I46" s="105"/>
      <c r="J46" s="105"/>
      <c r="K46" s="105"/>
      <c r="L46" s="105"/>
      <c r="M46" s="105"/>
      <c r="N46" s="105"/>
      <c r="O46" s="168"/>
      <c r="P46" s="166">
        <f>SUM(D46:O46)</f>
        <v>20000</v>
      </c>
    </row>
    <row r="47" spans="1:16" ht="16.5" customHeight="1" x14ac:dyDescent="0.2">
      <c r="A47" s="85">
        <v>6</v>
      </c>
      <c r="B47" s="102" t="s">
        <v>261</v>
      </c>
      <c r="C47" s="162" t="s">
        <v>262</v>
      </c>
      <c r="D47" s="115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69"/>
      <c r="P47" s="170">
        <f>SUM(D47:O47)</f>
        <v>0</v>
      </c>
    </row>
    <row r="48" spans="1:16" s="88" customFormat="1" ht="15.75" customHeight="1" x14ac:dyDescent="0.2">
      <c r="B48" s="147" t="s">
        <v>204</v>
      </c>
      <c r="C48" s="148"/>
      <c r="D48" s="149">
        <f t="shared" ref="D48:P48" si="4">SUM(D36:D47)</f>
        <v>66800</v>
      </c>
      <c r="E48" s="150">
        <f t="shared" si="4"/>
        <v>0</v>
      </c>
      <c r="F48" s="150">
        <f t="shared" si="4"/>
        <v>0</v>
      </c>
      <c r="G48" s="150">
        <f t="shared" si="4"/>
        <v>0</v>
      </c>
      <c r="H48" s="150">
        <f t="shared" si="4"/>
        <v>0</v>
      </c>
      <c r="I48" s="150">
        <f t="shared" si="4"/>
        <v>0</v>
      </c>
      <c r="J48" s="150">
        <f t="shared" si="4"/>
        <v>0</v>
      </c>
      <c r="K48" s="150">
        <f t="shared" si="4"/>
        <v>0</v>
      </c>
      <c r="L48" s="150">
        <f t="shared" si="4"/>
        <v>0</v>
      </c>
      <c r="M48" s="150">
        <f t="shared" si="4"/>
        <v>0</v>
      </c>
      <c r="N48" s="150">
        <f t="shared" si="4"/>
        <v>0</v>
      </c>
      <c r="O48" s="150">
        <f t="shared" si="4"/>
        <v>0</v>
      </c>
      <c r="P48" s="122">
        <f t="shared" si="4"/>
        <v>50000</v>
      </c>
    </row>
    <row r="49" spans="2:16" ht="17.25" customHeight="1" x14ac:dyDescent="0.2">
      <c r="B49" s="129" t="s">
        <v>263</v>
      </c>
      <c r="C49" s="94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53"/>
    </row>
    <row r="50" spans="2:16" ht="16.5" customHeight="1" x14ac:dyDescent="0.2">
      <c r="B50" s="97" t="s">
        <v>264</v>
      </c>
      <c r="C50" s="98" t="s">
        <v>265</v>
      </c>
      <c r="D50" s="99">
        <v>1500</v>
      </c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37"/>
      <c r="P50" s="138">
        <f>SUM(D50:O50)</f>
        <v>1500</v>
      </c>
    </row>
    <row r="51" spans="2:16" ht="17.25" customHeight="1" x14ac:dyDescent="0.2">
      <c r="B51" s="113" t="s">
        <v>266</v>
      </c>
      <c r="C51" s="114" t="s">
        <v>267</v>
      </c>
      <c r="D51" s="108">
        <v>500</v>
      </c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10"/>
      <c r="P51" s="146">
        <f>SUM(D51:O51)</f>
        <v>500</v>
      </c>
    </row>
    <row r="52" spans="2:16" s="88" customFormat="1" ht="15.75" customHeight="1" x14ac:dyDescent="0.2">
      <c r="B52" s="90" t="s">
        <v>204</v>
      </c>
      <c r="C52" s="151"/>
      <c r="D52" s="149">
        <f t="shared" ref="D52:P52" si="5">SUM(D50:D51)</f>
        <v>2000</v>
      </c>
      <c r="E52" s="150">
        <f t="shared" si="5"/>
        <v>0</v>
      </c>
      <c r="F52" s="150">
        <f t="shared" si="5"/>
        <v>0</v>
      </c>
      <c r="G52" s="150">
        <f t="shared" si="5"/>
        <v>0</v>
      </c>
      <c r="H52" s="150">
        <f t="shared" si="5"/>
        <v>0</v>
      </c>
      <c r="I52" s="150">
        <f t="shared" si="5"/>
        <v>0</v>
      </c>
      <c r="J52" s="150">
        <f t="shared" si="5"/>
        <v>0</v>
      </c>
      <c r="K52" s="150">
        <f t="shared" si="5"/>
        <v>0</v>
      </c>
      <c r="L52" s="150">
        <f t="shared" si="5"/>
        <v>0</v>
      </c>
      <c r="M52" s="150">
        <f t="shared" si="5"/>
        <v>0</v>
      </c>
      <c r="N52" s="150">
        <f t="shared" si="5"/>
        <v>0</v>
      </c>
      <c r="O52" s="172">
        <f t="shared" si="5"/>
        <v>0</v>
      </c>
      <c r="P52" s="124">
        <f t="shared" si="5"/>
        <v>2000</v>
      </c>
    </row>
    <row r="53" spans="2:16" ht="4.5" customHeight="1" x14ac:dyDescent="0.2">
      <c r="B53" s="173"/>
      <c r="C53" s="174"/>
      <c r="D53" s="175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7">
        <f>SUM(D53:O53)</f>
        <v>0</v>
      </c>
    </row>
    <row r="54" spans="2:16" ht="17.25" customHeight="1" x14ac:dyDescent="0.2">
      <c r="B54" s="178" t="s">
        <v>204</v>
      </c>
      <c r="C54" s="119"/>
      <c r="D54" s="121">
        <f t="shared" ref="D54:P54" si="6">D34+D48+D52</f>
        <v>135800</v>
      </c>
      <c r="E54" s="122">
        <f t="shared" si="6"/>
        <v>0</v>
      </c>
      <c r="F54" s="122">
        <f t="shared" si="6"/>
        <v>0</v>
      </c>
      <c r="G54" s="122">
        <f t="shared" si="6"/>
        <v>0</v>
      </c>
      <c r="H54" s="122">
        <f t="shared" si="6"/>
        <v>0</v>
      </c>
      <c r="I54" s="122">
        <f t="shared" si="6"/>
        <v>0</v>
      </c>
      <c r="J54" s="122">
        <f t="shared" si="6"/>
        <v>0</v>
      </c>
      <c r="K54" s="122">
        <f t="shared" si="6"/>
        <v>0</v>
      </c>
      <c r="L54" s="122">
        <f t="shared" si="6"/>
        <v>0</v>
      </c>
      <c r="M54" s="122">
        <f t="shared" si="6"/>
        <v>0</v>
      </c>
      <c r="N54" s="122">
        <f t="shared" si="6"/>
        <v>0</v>
      </c>
      <c r="O54" s="122">
        <f t="shared" si="6"/>
        <v>0</v>
      </c>
      <c r="P54" s="122">
        <f t="shared" si="6"/>
        <v>118000</v>
      </c>
    </row>
    <row r="55" spans="2:16" ht="8.25" customHeight="1" x14ac:dyDescent="0.2">
      <c r="B55" s="88"/>
      <c r="C55" s="88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</row>
    <row r="56" spans="2:16" s="88" customFormat="1" ht="15" customHeight="1" x14ac:dyDescent="0.2">
      <c r="B56" s="88" t="s">
        <v>268</v>
      </c>
      <c r="D56" s="179">
        <f t="shared" ref="D56:P56" si="7">D14-D54</f>
        <v>-135800</v>
      </c>
      <c r="E56" s="179">
        <f t="shared" si="7"/>
        <v>0</v>
      </c>
      <c r="F56" s="179">
        <f t="shared" si="7"/>
        <v>0</v>
      </c>
      <c r="G56" s="179">
        <f t="shared" si="7"/>
        <v>0</v>
      </c>
      <c r="H56" s="179">
        <f t="shared" si="7"/>
        <v>0</v>
      </c>
      <c r="I56" s="179">
        <f t="shared" si="7"/>
        <v>0</v>
      </c>
      <c r="J56" s="179">
        <f t="shared" si="7"/>
        <v>0</v>
      </c>
      <c r="K56" s="179">
        <f t="shared" si="7"/>
        <v>0</v>
      </c>
      <c r="L56" s="179">
        <f t="shared" si="7"/>
        <v>0</v>
      </c>
      <c r="M56" s="179">
        <f t="shared" si="7"/>
        <v>0</v>
      </c>
      <c r="N56" s="179">
        <f t="shared" si="7"/>
        <v>0</v>
      </c>
      <c r="O56" s="179">
        <f t="shared" si="7"/>
        <v>0</v>
      </c>
      <c r="P56" s="179">
        <f t="shared" si="7"/>
        <v>-118000</v>
      </c>
    </row>
    <row r="64" spans="2:16" s="180" customFormat="1" ht="17.25" customHeight="1" x14ac:dyDescent="0.25">
      <c r="D64" s="237" t="s">
        <v>269</v>
      </c>
      <c r="E64" s="237"/>
    </row>
    <row r="65" spans="2:5" s="180" customFormat="1" ht="17.25" customHeight="1" x14ac:dyDescent="0.25">
      <c r="D65" s="180">
        <v>1</v>
      </c>
      <c r="E65" s="180" t="s">
        <v>270</v>
      </c>
    </row>
    <row r="66" spans="2:5" s="180" customFormat="1" ht="17.25" customHeight="1" x14ac:dyDescent="0.25">
      <c r="D66" s="180">
        <v>2</v>
      </c>
      <c r="E66" s="180" t="s">
        <v>206</v>
      </c>
    </row>
    <row r="67" spans="2:5" s="180" customFormat="1" ht="17.25" customHeight="1" x14ac:dyDescent="0.25">
      <c r="D67" s="180">
        <v>3</v>
      </c>
      <c r="E67" s="180" t="s">
        <v>271</v>
      </c>
    </row>
    <row r="68" spans="2:5" s="180" customFormat="1" ht="17.25" customHeight="1" x14ac:dyDescent="0.25">
      <c r="D68" s="180">
        <v>4</v>
      </c>
      <c r="E68" s="180" t="s">
        <v>263</v>
      </c>
    </row>
    <row r="69" spans="2:5" s="180" customFormat="1" ht="17.25" customHeight="1" x14ac:dyDescent="0.25"/>
    <row r="70" spans="2:5" s="180" customFormat="1" ht="17.25" customHeight="1" x14ac:dyDescent="0.25"/>
    <row r="71" spans="2:5" s="180" customFormat="1" ht="17.25" customHeight="1" x14ac:dyDescent="0.25">
      <c r="C71" s="181" t="s">
        <v>272</v>
      </c>
    </row>
    <row r="72" spans="2:5" s="180" customFormat="1" ht="17.25" customHeight="1" x14ac:dyDescent="0.25">
      <c r="B72" s="180">
        <v>1</v>
      </c>
      <c r="C72" s="180" t="s">
        <v>273</v>
      </c>
    </row>
    <row r="73" spans="2:5" s="180" customFormat="1" ht="17.25" customHeight="1" x14ac:dyDescent="0.25">
      <c r="B73" s="180">
        <v>2</v>
      </c>
      <c r="C73" s="180" t="s">
        <v>274</v>
      </c>
    </row>
    <row r="74" spans="2:5" s="180" customFormat="1" ht="17.25" customHeight="1" x14ac:dyDescent="0.25">
      <c r="B74" s="180">
        <v>3</v>
      </c>
      <c r="C74" s="180" t="s">
        <v>275</v>
      </c>
    </row>
    <row r="75" spans="2:5" s="180" customFormat="1" ht="17.25" customHeight="1" x14ac:dyDescent="0.25"/>
    <row r="76" spans="2:5" s="180" customFormat="1" ht="17.25" customHeight="1" x14ac:dyDescent="0.25"/>
    <row r="77" spans="2:5" s="180" customFormat="1" ht="17.25" customHeight="1" x14ac:dyDescent="0.25"/>
    <row r="78" spans="2:5" s="180" customFormat="1" ht="17.25" customHeight="1" x14ac:dyDescent="0.25"/>
    <row r="79" spans="2:5" s="180" customFormat="1" ht="17.25" customHeight="1" x14ac:dyDescent="0.25"/>
    <row r="80" spans="2:5" s="180" customFormat="1" ht="17.25" customHeight="1" x14ac:dyDescent="0.25">
      <c r="C80" s="182" t="s">
        <v>276</v>
      </c>
    </row>
    <row r="81" s="180" customFormat="1" ht="17.25" customHeight="1" x14ac:dyDescent="0.25"/>
    <row r="82" s="180" customFormat="1" ht="17.25" customHeight="1" x14ac:dyDescent="0.25"/>
    <row r="83" s="180" customFormat="1" ht="17.25" customHeight="1" x14ac:dyDescent="0.25"/>
    <row r="84" s="180" customFormat="1" ht="17.25" customHeight="1" x14ac:dyDescent="0.25"/>
  </sheetData>
  <mergeCells count="3">
    <mergeCell ref="A1:O1"/>
    <mergeCell ref="G2:J2"/>
    <mergeCell ref="D64:E64"/>
  </mergeCells>
  <printOptions horizontalCentered="1"/>
  <pageMargins left="0" right="0" top="0.5" bottom="0" header="0.511811023622047" footer="0.511811023622047"/>
  <pageSetup paperSize="9" scale="65" orientation="landscape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Collections</vt:lpstr>
      <vt:lpstr>Expenses</vt:lpstr>
      <vt:lpstr>Summary</vt:lpstr>
      <vt:lpstr>Cash flow</vt:lpstr>
      <vt:lpstr>Charts</vt:lpstr>
      <vt:lpstr>Executive Summary</vt:lpstr>
      <vt:lpstr>Exec Summary (Logo)</vt:lpstr>
      <vt:lpstr>Arrears</vt:lpstr>
      <vt:lpstr>Breakdown</vt:lpstr>
      <vt:lpstr>Sheet1</vt:lpstr>
      <vt:lpstr>Draft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REDMIBOOK</cp:lastModifiedBy>
  <cp:revision>7</cp:revision>
  <dcterms:created xsi:type="dcterms:W3CDTF">2026-03-22T18:46:03Z</dcterms:created>
  <dcterms:modified xsi:type="dcterms:W3CDTF">2026-06-09T18:09:57Z</dcterms:modified>
  <dc:language>en-US</dc:language>
</cp:coreProperties>
</file>